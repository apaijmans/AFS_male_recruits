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workstuff\DATA\AntarcticFurSeals\BI_SSB\BI_2020_season\"/>
    </mc:Choice>
  </mc:AlternateContent>
  <bookViews>
    <workbookView xWindow="0" yWindow="0" windowWidth="28800" windowHeight="12300" tabRatio="601"/>
  </bookViews>
  <sheets>
    <sheet name="2019-2020" sheetId="5" r:id="rId1"/>
    <sheet name="Male Plot" sheetId="7" r:id="rId2"/>
    <sheet name="Last Years Boys" sheetId="6" r:id="rId3"/>
  </sheets>
  <definedNames>
    <definedName name="_xlnm._FilterDatabase" localSheetId="0" hidden="1">'2019-2020'!$C$1:$D$296</definedName>
  </definedNames>
  <calcPr calcId="162913"/>
</workbook>
</file>

<file path=xl/calcChain.xml><?xml version="1.0" encoding="utf-8"?>
<calcChain xmlns="http://schemas.openxmlformats.org/spreadsheetml/2006/main">
  <c r="AY1" i="5" l="1"/>
  <c r="BY1" i="5" l="1"/>
  <c r="BX1" i="5"/>
  <c r="BW1" i="5"/>
  <c r="BV1" i="5"/>
  <c r="BU1" i="5"/>
  <c r="BT1" i="5"/>
  <c r="BS1" i="5"/>
  <c r="BR1" i="5"/>
  <c r="BQ1" i="5"/>
  <c r="BP1" i="5"/>
  <c r="AL1" i="5"/>
  <c r="AK1" i="5"/>
  <c r="R1" i="5"/>
  <c r="Q1" i="5"/>
  <c r="P1" i="5"/>
  <c r="I1" i="5"/>
  <c r="J1" i="5"/>
  <c r="K1" i="5"/>
  <c r="L1" i="5"/>
  <c r="M1" i="5"/>
  <c r="N1" i="5"/>
  <c r="O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M1" i="5"/>
  <c r="AN1" i="5"/>
  <c r="AO1" i="5"/>
  <c r="AP1" i="5"/>
  <c r="AQ1" i="5"/>
  <c r="AR1" i="5"/>
  <c r="AS1" i="5"/>
  <c r="AT1" i="5"/>
  <c r="AU1" i="5"/>
  <c r="AV1" i="5"/>
  <c r="AW1" i="5"/>
  <c r="AX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H1" i="5"/>
  <c r="G1" i="5"/>
  <c r="CX296" i="5"/>
  <c r="CW296" i="5"/>
  <c r="CV296" i="5"/>
  <c r="CU296" i="5"/>
  <c r="CT296" i="5"/>
  <c r="CS296" i="5"/>
  <c r="CR296" i="5"/>
  <c r="CQ296" i="5"/>
  <c r="CP296" i="5"/>
  <c r="CO296" i="5"/>
  <c r="CN296" i="5"/>
  <c r="CM296" i="5"/>
  <c r="CL296" i="5"/>
  <c r="CK296" i="5"/>
  <c r="CJ296" i="5"/>
  <c r="CI296" i="5"/>
  <c r="CH296" i="5"/>
  <c r="CG296" i="5"/>
</calcChain>
</file>

<file path=xl/sharedStrings.xml><?xml version="1.0" encoding="utf-8"?>
<sst xmlns="http://schemas.openxmlformats.org/spreadsheetml/2006/main" count="1559" uniqueCount="661">
  <si>
    <t>Tags</t>
  </si>
  <si>
    <t>Tissue Sampled</t>
  </si>
  <si>
    <t>Serial Number</t>
  </si>
  <si>
    <t>Old Paint/Comments</t>
  </si>
  <si>
    <t>-/-</t>
  </si>
  <si>
    <t>Total Males on Beach</t>
  </si>
  <si>
    <t>Name and paint marks</t>
  </si>
  <si>
    <t>PIT tag</t>
  </si>
  <si>
    <t>Y</t>
  </si>
  <si>
    <t>TS/TH</t>
  </si>
  <si>
    <t>TH/TH</t>
  </si>
  <si>
    <t>-</t>
  </si>
  <si>
    <t>0415A4E472</t>
  </si>
  <si>
    <t>04162E73BE</t>
  </si>
  <si>
    <t>04159E3074</t>
  </si>
  <si>
    <t>TS/TS</t>
  </si>
  <si>
    <t>0413020E65</t>
  </si>
  <si>
    <t>04162E9908</t>
  </si>
  <si>
    <t>04162E7A18</t>
  </si>
  <si>
    <t>04162E8F48</t>
  </si>
  <si>
    <t>04162EB497</t>
  </si>
  <si>
    <t>AGM19001</t>
  </si>
  <si>
    <t>04162EC088</t>
  </si>
  <si>
    <t>AGM18001</t>
  </si>
  <si>
    <t>Batman - 2 Green dot on left shoulder and one on the right shoulder</t>
  </si>
  <si>
    <t>AGM18005</t>
  </si>
  <si>
    <t>Flash - Pink on left flipper and Orange left rump/flipper</t>
  </si>
  <si>
    <t>AGM18003</t>
  </si>
  <si>
    <t>Spiderman - Pink on chest and left rump</t>
  </si>
  <si>
    <t>AGM18002</t>
  </si>
  <si>
    <t>Hulk - Green on right back and 2 Green dot left rump (repainted green dot on rump and left side of face)</t>
  </si>
  <si>
    <t>0417820826</t>
  </si>
  <si>
    <t>Thor - Green dot mid rump and Pink dot right shoulder</t>
  </si>
  <si>
    <t>AGM18004</t>
  </si>
  <si>
    <t>Green Lantern - Green dot and line on left rump</t>
  </si>
  <si>
    <t xml:space="preserve">Unpainted </t>
  </si>
  <si>
    <t>AGM18006</t>
  </si>
  <si>
    <t>Wolverine - 2 Blue dot on the chest and one on the neck</t>
  </si>
  <si>
    <t>Mystic - Blue dot right shoulder</t>
  </si>
  <si>
    <t>AGM18007</t>
  </si>
  <si>
    <t>Thanos -  Yellow dot right rump</t>
  </si>
  <si>
    <t>AGM18008</t>
  </si>
  <si>
    <t>Captain America - Blue dot on middle rump and bac</t>
  </si>
  <si>
    <t>AGM18009</t>
  </si>
  <si>
    <t>Iron man - Pink/Blue/Pink dot in line in the mid back</t>
  </si>
  <si>
    <t>AGM18010</t>
  </si>
  <si>
    <t>Deadpool - Blue dot on right belly, mid rump and right shoulder</t>
  </si>
  <si>
    <t>AGM18011</t>
  </si>
  <si>
    <t>Loki - Blue dot on chest</t>
  </si>
  <si>
    <t>AGM18012</t>
  </si>
  <si>
    <t>Groot - Blue and orange dot on right rump and blue dot on left rump</t>
  </si>
  <si>
    <t>0413021990</t>
  </si>
  <si>
    <t>AGM18013</t>
  </si>
  <si>
    <t>Nut - Yellow dot on right rump and left shoulder</t>
  </si>
  <si>
    <t>AGM18014</t>
  </si>
  <si>
    <t>Porkchop - Yellow dot on neck and mid back</t>
  </si>
  <si>
    <t>AGM18015</t>
  </si>
  <si>
    <t>Ant-Man - Yellow dot right belly + Purple dot mid back and mid rump</t>
  </si>
  <si>
    <t>Wasp - Yellow dot left rump and left back</t>
  </si>
  <si>
    <t>AGM18016</t>
  </si>
  <si>
    <t>Falcon - Green dot on mid back and right belly + Yellow dot on mid rump</t>
  </si>
  <si>
    <t>AGM18017</t>
  </si>
  <si>
    <t>Pr. Xavier - Green dot mid rump and Yellow dot on right belly</t>
  </si>
  <si>
    <t>AGM18018</t>
  </si>
  <si>
    <t>Magneto - Green dot mid rump and mid back + Purple right belly</t>
  </si>
  <si>
    <t>AGM18019</t>
  </si>
  <si>
    <t>Iceman - Blue/Green/Purple on right rump (repainted 18/11 green chest; 21/11 big purple rump)</t>
  </si>
  <si>
    <t>AGM18020</t>
  </si>
  <si>
    <t>Cyclops - Purple/Green/Purple on rump</t>
  </si>
  <si>
    <t>AGM18021</t>
  </si>
  <si>
    <t>Rogue - Orange/Purple left rump + Orange right rump</t>
  </si>
  <si>
    <t>AGM18022</t>
  </si>
  <si>
    <t>Sabretooth - 2 Orange on left shoulder</t>
  </si>
  <si>
    <t>AGM18023</t>
  </si>
  <si>
    <t>Croissant - Purple/Orange/Purple left rump + Orange left belly</t>
  </si>
  <si>
    <t>AGM18025</t>
  </si>
  <si>
    <t>Colossus - Green/Blue/Blue dot on rump</t>
  </si>
  <si>
    <t>0417083C34</t>
  </si>
  <si>
    <t>AGM18024</t>
  </si>
  <si>
    <t xml:space="preserve">Angel </t>
  </si>
  <si>
    <t>Y5797/Y5797</t>
  </si>
  <si>
    <t>AGM18026</t>
  </si>
  <si>
    <t>Cheesecake - Yellow mid back and left rump + Orange rump</t>
  </si>
  <si>
    <t>AGM18027</t>
  </si>
  <si>
    <t xml:space="preserve">Storm - Yellow/Orange left rump and Yellow back </t>
  </si>
  <si>
    <t>AGM18028</t>
  </si>
  <si>
    <t>Venom- Pink Rump/neck, Blue black</t>
  </si>
  <si>
    <t>AGM18029</t>
  </si>
  <si>
    <t>Peter Parker- Pink/blue on right rump</t>
  </si>
  <si>
    <t>AGM18030</t>
  </si>
  <si>
    <t>Tony Stark- Orange/ Blue Left Rump, Orange Mind Back</t>
  </si>
  <si>
    <t>AGM18031</t>
  </si>
  <si>
    <t>Captain Marvel- Orange L shoulder, Blue L Rump</t>
  </si>
  <si>
    <t>AGM18032</t>
  </si>
  <si>
    <t>Phoenix- 3 blue dots down head/neck</t>
  </si>
  <si>
    <t>AGM18033</t>
  </si>
  <si>
    <t>Dr Snow- Orange dot on shoulder and rump</t>
  </si>
  <si>
    <t>AGM18034</t>
  </si>
  <si>
    <t>Joker- Green/pink/green on left rump</t>
  </si>
  <si>
    <t>AGM18035</t>
  </si>
  <si>
    <t>Daredevil- Blue/ yellow on mid back Deep cut on left side</t>
  </si>
  <si>
    <t>AGM18036</t>
  </si>
  <si>
    <t>Logan- Yellow/Blue/Yellow Rump</t>
  </si>
  <si>
    <t>04162E8879</t>
  </si>
  <si>
    <t>AGM18037</t>
  </si>
  <si>
    <t>Starlord- 2xgreen dots on Rump</t>
  </si>
  <si>
    <t>AGM18038</t>
  </si>
  <si>
    <t>Rocket- pink stripe on back</t>
  </si>
  <si>
    <t>AGM18039</t>
  </si>
  <si>
    <t>Drax- Lime Green stripe on back and pink dot on rump</t>
  </si>
  <si>
    <t>AGM18040</t>
  </si>
  <si>
    <t>Quill- Pink shoulder and mid back</t>
  </si>
  <si>
    <t>AGM18041</t>
  </si>
  <si>
    <t>Thing- Blue Dot on Shoulder</t>
  </si>
  <si>
    <t>04162E9F19</t>
  </si>
  <si>
    <t>AGM18042</t>
  </si>
  <si>
    <t>Mr Fantastic- Blue/pink Rump</t>
  </si>
  <si>
    <t>GG5893/TS</t>
  </si>
  <si>
    <t>AGM18043</t>
  </si>
  <si>
    <t>Cake- Pink Rump, Blue/green shoulder</t>
  </si>
  <si>
    <t>Gtag/TS</t>
  </si>
  <si>
    <t>AGM18044</t>
  </si>
  <si>
    <t>Victor- Green/yellow mid back</t>
  </si>
  <si>
    <t>AGM18045</t>
  </si>
  <si>
    <t>Dr Doom-Orange/pink Back</t>
  </si>
  <si>
    <t>AGM18046</t>
  </si>
  <si>
    <t>Sheep-Blue Stripe down left side</t>
  </si>
  <si>
    <t>TH/GGtag</t>
  </si>
  <si>
    <t>AGM18047</t>
  </si>
  <si>
    <t>silver surfer- yellow dots down back</t>
  </si>
  <si>
    <t>AGM18048</t>
  </si>
  <si>
    <t>Green Arrow-orange back and green rump</t>
  </si>
  <si>
    <t>AGM18049</t>
  </si>
  <si>
    <t>Juggernaut- Green/Pink on left side</t>
  </si>
  <si>
    <t>AGM18050</t>
  </si>
  <si>
    <t>Quicksilver- Pink chest and green right rumo</t>
  </si>
  <si>
    <t>AGM18051</t>
  </si>
  <si>
    <t>Stan Lee-Pink head</t>
  </si>
  <si>
    <t>AGM18052</t>
  </si>
  <si>
    <t>Toad-Green Head</t>
  </si>
  <si>
    <t>AGM18053</t>
  </si>
  <si>
    <t>X-men - blue on rump</t>
  </si>
  <si>
    <t>AGM18054</t>
  </si>
  <si>
    <t>Clint- Orange/pink/blue rump</t>
  </si>
  <si>
    <t>AGM18055</t>
  </si>
  <si>
    <t>Black Panther-Orange/ pink/ yellow rump</t>
  </si>
  <si>
    <t>AGM18056</t>
  </si>
  <si>
    <t>Avengers- old orange paint on head</t>
  </si>
  <si>
    <t>AGM18057</t>
  </si>
  <si>
    <t>blue/green mid back</t>
  </si>
  <si>
    <t>N</t>
  </si>
  <si>
    <t>04170690B1</t>
  </si>
  <si>
    <t>AGM18058</t>
  </si>
  <si>
    <t>orange right shoulder and back</t>
  </si>
  <si>
    <t>04162E6E1B</t>
  </si>
  <si>
    <t>AGM18059</t>
  </si>
  <si>
    <t>No paint- ran away.</t>
  </si>
  <si>
    <t>AGM18060</t>
  </si>
  <si>
    <t>Blue back</t>
  </si>
  <si>
    <t>AGM18061</t>
  </si>
  <si>
    <t>green and orange bum</t>
  </si>
  <si>
    <t>Hulk- Pink on right rump</t>
  </si>
  <si>
    <t>AGM19002</t>
  </si>
  <si>
    <t>AGM19003</t>
  </si>
  <si>
    <t>Crossiant- Blue on left rump</t>
  </si>
  <si>
    <t>AGM19004</t>
  </si>
  <si>
    <t>Loki - Yellow L side/rump (+ small on head)</t>
  </si>
  <si>
    <t>AGM19005</t>
  </si>
  <si>
    <t>old orange paint on rump</t>
  </si>
  <si>
    <t>--/--</t>
  </si>
  <si>
    <t>intertidal</t>
  </si>
  <si>
    <t>AGM19006</t>
  </si>
  <si>
    <t>AGM19007</t>
  </si>
  <si>
    <t>AGM19008</t>
  </si>
  <si>
    <t>AGM19009</t>
  </si>
  <si>
    <t>AGM19010</t>
  </si>
  <si>
    <t>AGM19011</t>
  </si>
  <si>
    <t>AGM19012</t>
  </si>
  <si>
    <t>AGM19013</t>
  </si>
  <si>
    <t>Mr Fantastic- 2 x yellow dots on rump</t>
  </si>
  <si>
    <t>Gfaded/ TH</t>
  </si>
  <si>
    <t>Jabba- 2xpink dots on back and left</t>
  </si>
  <si>
    <t>old paint on back</t>
  </si>
  <si>
    <t>Chewy- yellow on right rump side, green/pink on left side</t>
  </si>
  <si>
    <t>04162E9286</t>
  </si>
  <si>
    <t>OBI- 2x orange spots on back and one in middle of shoulder</t>
  </si>
  <si>
    <t>04162E6E1D</t>
  </si>
  <si>
    <t>kylo- orange on left side</t>
  </si>
  <si>
    <t>0210</t>
  </si>
  <si>
    <t>-0616</t>
  </si>
  <si>
    <t>0912</t>
  </si>
  <si>
    <t>-0408</t>
  </si>
  <si>
    <t>star destroyer-3 x lime green spots on left side, one on chest, side and rump</t>
  </si>
  <si>
    <t>0116</t>
  </si>
  <si>
    <t>That’s no moon- 2x pink dots on rump</t>
  </si>
  <si>
    <t>-0306</t>
  </si>
  <si>
    <t>luke- blue/green on left rump and blue on left shoulder</t>
  </si>
  <si>
    <t>2208</t>
  </si>
  <si>
    <t>3108</t>
  </si>
  <si>
    <t>3210</t>
  </si>
  <si>
    <t>2216</t>
  </si>
  <si>
    <t>2810</t>
  </si>
  <si>
    <t>1410</t>
  </si>
  <si>
    <t>0911</t>
  </si>
  <si>
    <t>0306</t>
  </si>
  <si>
    <t>0212</t>
  </si>
  <si>
    <t>0216</t>
  </si>
  <si>
    <t>-0612</t>
  </si>
  <si>
    <t>2212</t>
  </si>
  <si>
    <t>1116</t>
  </si>
  <si>
    <t>2809</t>
  </si>
  <si>
    <t>1012</t>
  </si>
  <si>
    <t>3208</t>
  </si>
  <si>
    <t>2215</t>
  </si>
  <si>
    <t>-0214</t>
  </si>
  <si>
    <t>-0613</t>
  </si>
  <si>
    <t>0016</t>
  </si>
  <si>
    <t>0507</t>
  </si>
  <si>
    <t>AGM19014</t>
  </si>
  <si>
    <t>AGM19015</t>
  </si>
  <si>
    <t>0415A4E448</t>
  </si>
  <si>
    <t>1914</t>
  </si>
  <si>
    <t>1509</t>
  </si>
  <si>
    <t>2309</t>
  </si>
  <si>
    <t>1314</t>
  </si>
  <si>
    <t>2912</t>
  </si>
  <si>
    <t>0910</t>
  </si>
  <si>
    <t>3214</t>
  </si>
  <si>
    <t>-0213</t>
  </si>
  <si>
    <t>2016</t>
  </si>
  <si>
    <t>1912</t>
  </si>
  <si>
    <t>1409</t>
  </si>
  <si>
    <t>AGM19016</t>
  </si>
  <si>
    <t>0816</t>
  </si>
  <si>
    <t>Porg- 2x pink spots vertically down back and light blue spot</t>
  </si>
  <si>
    <t>2109</t>
  </si>
  <si>
    <t>1312</t>
  </si>
  <si>
    <t>2610</t>
  </si>
  <si>
    <t>0810</t>
  </si>
  <si>
    <t>2213</t>
  </si>
  <si>
    <t>0310</t>
  </si>
  <si>
    <t>0305</t>
  </si>
  <si>
    <t>0916</t>
  </si>
  <si>
    <t>2308</t>
  </si>
  <si>
    <t>AMG19017</t>
  </si>
  <si>
    <t>pink/green paint on rump</t>
  </si>
  <si>
    <t>BB8- orange stripe and lime green spot on mid back</t>
  </si>
  <si>
    <t>C-3P0- orange on back</t>
  </si>
  <si>
    <t>2009</t>
  </si>
  <si>
    <t>1313</t>
  </si>
  <si>
    <t>1008</t>
  </si>
  <si>
    <t>3209</t>
  </si>
  <si>
    <t>0311</t>
  </si>
  <si>
    <t>0506</t>
  </si>
  <si>
    <t>1309</t>
  </si>
  <si>
    <t>AMG19018</t>
  </si>
  <si>
    <t>Jangly Salt Fox - Skye blue spot on right of rump</t>
  </si>
  <si>
    <t>-0618</t>
  </si>
  <si>
    <t>1016</t>
  </si>
  <si>
    <t>1913</t>
  </si>
  <si>
    <t>0406</t>
  </si>
  <si>
    <t>0112</t>
  </si>
  <si>
    <t>1109</t>
  </si>
  <si>
    <t>2811</t>
  </si>
  <si>
    <t>2209</t>
  </si>
  <si>
    <t>2609</t>
  </si>
  <si>
    <t>1108</t>
  </si>
  <si>
    <t>2314</t>
  </si>
  <si>
    <t>-0416</t>
  </si>
  <si>
    <t>2409</t>
  </si>
  <si>
    <t>1414</t>
  </si>
  <si>
    <t>2416</t>
  </si>
  <si>
    <t>0012</t>
  </si>
  <si>
    <t>0215</t>
  </si>
  <si>
    <t>1909</t>
  </si>
  <si>
    <t>2408</t>
  </si>
  <si>
    <t>AMG19019</t>
  </si>
  <si>
    <t>AMG19020</t>
  </si>
  <si>
    <t>AMG19021</t>
  </si>
  <si>
    <t>orange/pink on rump</t>
  </si>
  <si>
    <t>2418</t>
  </si>
  <si>
    <t>Nut- Dark green on right flank, lime on back</t>
  </si>
  <si>
    <t>0309</t>
  </si>
  <si>
    <t>Ackbar- Sky blue and lime on Back</t>
  </si>
  <si>
    <t>0312</t>
  </si>
  <si>
    <t>3212</t>
  </si>
  <si>
    <t>2709</t>
  </si>
  <si>
    <t>2614</t>
  </si>
  <si>
    <t>0915</t>
  </si>
  <si>
    <t>0214</t>
  </si>
  <si>
    <t>2816</t>
  </si>
  <si>
    <t>0412</t>
  </si>
  <si>
    <t>AMG19022</t>
  </si>
  <si>
    <t>04162EC0AD</t>
  </si>
  <si>
    <t>2907</t>
  </si>
  <si>
    <t>3112</t>
  </si>
  <si>
    <t>2608</t>
  </si>
  <si>
    <t>2017</t>
  </si>
  <si>
    <t>1612</t>
  </si>
  <si>
    <t>1310</t>
  </si>
  <si>
    <t>0907</t>
  </si>
  <si>
    <t>0314</t>
  </si>
  <si>
    <t>2910</t>
  </si>
  <si>
    <t>JarJar - 2x pink dots on left rump and back and yellow on right shoulder</t>
  </si>
  <si>
    <t>3114</t>
  </si>
  <si>
    <t>2514</t>
  </si>
  <si>
    <t>0504</t>
  </si>
  <si>
    <t>0315</t>
  </si>
  <si>
    <t>0904</t>
  </si>
  <si>
    <t>1408</t>
  </si>
  <si>
    <t>2812</t>
  </si>
  <si>
    <t>2206</t>
  </si>
  <si>
    <t>3106</t>
  </si>
  <si>
    <t>2412</t>
  </si>
  <si>
    <t>0114</t>
  </si>
  <si>
    <t>0604</t>
  </si>
  <si>
    <t>0316</t>
  </si>
  <si>
    <t>0704</t>
  </si>
  <si>
    <t>2010</t>
  </si>
  <si>
    <t>1510</t>
  </si>
  <si>
    <t>0409</t>
  </si>
  <si>
    <t>Solo- Pink and Yellow on right rump</t>
  </si>
  <si>
    <t>AMG19023</t>
  </si>
  <si>
    <t>AMG19024</t>
  </si>
  <si>
    <t>AMG19025</t>
  </si>
  <si>
    <t>-0617</t>
  </si>
  <si>
    <t>-0418</t>
  </si>
  <si>
    <t>-0611</t>
  </si>
  <si>
    <t>Darth- Lime green on rump/ blue on left; missing top lip.</t>
  </si>
  <si>
    <t>AMG19026</t>
  </si>
  <si>
    <t>AMG19027</t>
  </si>
  <si>
    <t>AMG19028</t>
  </si>
  <si>
    <t>0404</t>
  </si>
  <si>
    <t>-0608</t>
  </si>
  <si>
    <t>1610</t>
  </si>
  <si>
    <t>Sheep-Yellow/blue on right rump</t>
  </si>
  <si>
    <t>1616</t>
  </si>
  <si>
    <t>3107</t>
  </si>
  <si>
    <t>3217</t>
  </si>
  <si>
    <t>2615</t>
  </si>
  <si>
    <t>0208</t>
  </si>
  <si>
    <t>0706</t>
  </si>
  <si>
    <t>1508</t>
  </si>
  <si>
    <t>-0218</t>
  </si>
  <si>
    <t>AMG19029</t>
  </si>
  <si>
    <t>AMG19030</t>
  </si>
  <si>
    <t>3220</t>
  </si>
  <si>
    <t>yellow on right rump/ cheek</t>
  </si>
  <si>
    <t>2108</t>
  </si>
  <si>
    <t>Ewok-pink/blue on left rump and side</t>
  </si>
  <si>
    <t>Laya- pink stripe and orange dot on left side</t>
  </si>
  <si>
    <t>Intertidal</t>
  </si>
  <si>
    <t>Lime-E-Large lime green line on right back shoulder</t>
  </si>
  <si>
    <t>Skyewalker- dark blue on rump</t>
  </si>
  <si>
    <t>1308</t>
  </si>
  <si>
    <t>1917</t>
  </si>
  <si>
    <t>0407</t>
  </si>
  <si>
    <t>0806</t>
  </si>
  <si>
    <t>0013</t>
  </si>
  <si>
    <t>-0614</t>
  </si>
  <si>
    <t>0908</t>
  </si>
  <si>
    <t>0220</t>
  </si>
  <si>
    <t>Yoda-Pink/Blue stripes on shoulders</t>
  </si>
  <si>
    <t>INTERTIDAL</t>
  </si>
  <si>
    <t>1918</t>
  </si>
  <si>
    <t>0808</t>
  </si>
  <si>
    <t>2710</t>
  </si>
  <si>
    <t>3116</t>
  </si>
  <si>
    <t>2313</t>
  </si>
  <si>
    <t>0014</t>
  </si>
  <si>
    <t>0505</t>
  </si>
  <si>
    <t>1911</t>
  </si>
  <si>
    <t>2908</t>
  </si>
  <si>
    <t>-0813</t>
  </si>
  <si>
    <t>1611</t>
  </si>
  <si>
    <t>-0220</t>
  </si>
  <si>
    <t>Vader-Lime, Blue and Orange on right rump/back- REPAINTED WITH BLUE/ LIME ON CHEST BOTH SIDES OF CHEST.</t>
  </si>
  <si>
    <t>AMG19031</t>
  </si>
  <si>
    <t>AMG19032</t>
  </si>
  <si>
    <t>1006</t>
  </si>
  <si>
    <t>Uncle Owen lime, orange, lime dot on back</t>
  </si>
  <si>
    <t xml:space="preserve"> Millenium Falcon- Yellow stripe on r. side and blue dots on left shoulder and back</t>
  </si>
  <si>
    <t>AMG19033</t>
  </si>
  <si>
    <t>04162E8885</t>
  </si>
  <si>
    <t>Aunt Beru- sky blue on both side of mid back</t>
  </si>
  <si>
    <t>3216</t>
  </si>
  <si>
    <t>0606</t>
  </si>
  <si>
    <t>0906</t>
  </si>
  <si>
    <t>2008</t>
  </si>
  <si>
    <t>1106</t>
  </si>
  <si>
    <t>2909</t>
  </si>
  <si>
    <t>AMG19034</t>
  </si>
  <si>
    <t>Count Dooku- sky blue/ lime green on left chest and right side.</t>
  </si>
  <si>
    <t>-0610</t>
  </si>
  <si>
    <t>3008</t>
  </si>
  <si>
    <t>3215</t>
  </si>
  <si>
    <t>0018</t>
  </si>
  <si>
    <t>3117</t>
  </si>
  <si>
    <t>1415</t>
  </si>
  <si>
    <t>1210</t>
  </si>
  <si>
    <t>3308</t>
  </si>
  <si>
    <t>2616</t>
  </si>
  <si>
    <t>2011</t>
  </si>
  <si>
    <t>2718</t>
  </si>
  <si>
    <t>-0517</t>
  </si>
  <si>
    <t>2914</t>
  </si>
  <si>
    <t>1711</t>
  </si>
  <si>
    <t>-0208</t>
  </si>
  <si>
    <t>3113</t>
  </si>
  <si>
    <t>1107</t>
  </si>
  <si>
    <t>1017</t>
  </si>
  <si>
    <t>AMG19035</t>
  </si>
  <si>
    <t>2818</t>
  </si>
  <si>
    <t>Boba Fett-Yellow and lime on Rump</t>
  </si>
  <si>
    <t>1315</t>
  </si>
  <si>
    <t>0709</t>
  </si>
  <si>
    <t>3207</t>
  </si>
  <si>
    <t>2018</t>
  </si>
  <si>
    <t>2617</t>
  </si>
  <si>
    <t>-0622</t>
  </si>
  <si>
    <t>3115</t>
  </si>
  <si>
    <t>AMG19036</t>
  </si>
  <si>
    <t>AMG19037</t>
  </si>
  <si>
    <t>04130209CD</t>
  </si>
  <si>
    <t>TH/TS</t>
  </si>
  <si>
    <t>0707</t>
  </si>
  <si>
    <t>-0412</t>
  </si>
  <si>
    <t>0405</t>
  </si>
  <si>
    <t>3110</t>
  </si>
  <si>
    <t>2417</t>
  </si>
  <si>
    <t>1514</t>
  </si>
  <si>
    <t>0705</t>
  </si>
  <si>
    <t>-0420</t>
  </si>
  <si>
    <t>2020</t>
  </si>
  <si>
    <t>Lando- Pink/sky blue on left shoulder notches on flippers</t>
  </si>
  <si>
    <t>2312</t>
  </si>
  <si>
    <t>0708</t>
  </si>
  <si>
    <t>0818</t>
  </si>
  <si>
    <t>0308</t>
  </si>
  <si>
    <t>0411</t>
  </si>
  <si>
    <t>-0515</t>
  </si>
  <si>
    <t>1708</t>
  </si>
  <si>
    <t>3009</t>
  </si>
  <si>
    <t>2717</t>
  </si>
  <si>
    <t>1908</t>
  </si>
  <si>
    <t>2413</t>
  </si>
  <si>
    <t>2012</t>
  </si>
  <si>
    <t>1407</t>
  </si>
  <si>
    <t>0611</t>
  </si>
  <si>
    <t>1206</t>
  </si>
  <si>
    <t>0218</t>
  </si>
  <si>
    <t>2320</t>
  </si>
  <si>
    <t>1615</t>
  </si>
  <si>
    <t>0805</t>
  </si>
  <si>
    <t>2306</t>
  </si>
  <si>
    <t>0712</t>
  </si>
  <si>
    <t>1808</t>
  </si>
  <si>
    <t>2317</t>
  </si>
  <si>
    <t>0508</t>
  </si>
  <si>
    <t>AMG19038</t>
  </si>
  <si>
    <t>Paploo-Pink/sky blue on left rump and right shoulder</t>
  </si>
  <si>
    <t>0520</t>
  </si>
  <si>
    <t xml:space="preserve">Starlord- Blue on left flank, and yellow on right flank </t>
  </si>
  <si>
    <t>Blue fadded tags</t>
  </si>
  <si>
    <t>2808</t>
  </si>
  <si>
    <t>2006</t>
  </si>
  <si>
    <t>1807</t>
  </si>
  <si>
    <t>1507</t>
  </si>
  <si>
    <t>-0419</t>
  </si>
  <si>
    <t>-0318</t>
  </si>
  <si>
    <t>AGM19039</t>
  </si>
  <si>
    <t>AGM19040</t>
  </si>
  <si>
    <t>1810</t>
  </si>
  <si>
    <t>R2D2 - Light blue + Orange dot on back</t>
  </si>
  <si>
    <t>Gonk - Blue speckles + light blue + orange strip on left side</t>
  </si>
  <si>
    <t>On top behind SSB</t>
  </si>
  <si>
    <t>1207</t>
  </si>
  <si>
    <t>3213</t>
  </si>
  <si>
    <t>2508</t>
  </si>
  <si>
    <t>2512</t>
  </si>
  <si>
    <t>2310</t>
  </si>
  <si>
    <t>1907</t>
  </si>
  <si>
    <t>1707</t>
  </si>
  <si>
    <t>1609</t>
  </si>
  <si>
    <t>Porkchop / Beefeater-light blue back, scar son head</t>
  </si>
  <si>
    <t>1715</t>
  </si>
  <si>
    <t>1015</t>
  </si>
  <si>
    <t>1209</t>
  </si>
  <si>
    <t>-0308</t>
  </si>
  <si>
    <t>AGM19041</t>
  </si>
  <si>
    <t>Dak - Yellow on back</t>
  </si>
  <si>
    <t>3111</t>
  </si>
  <si>
    <t>2407</t>
  </si>
  <si>
    <t>1614</t>
  </si>
  <si>
    <t>1115</t>
  </si>
  <si>
    <t>0610</t>
  </si>
  <si>
    <t>2211</t>
  </si>
  <si>
    <t>-0114</t>
  </si>
  <si>
    <t>0217</t>
  </si>
  <si>
    <t>0121</t>
  </si>
  <si>
    <t>1608</t>
  </si>
  <si>
    <t>3007</t>
  </si>
  <si>
    <t>1915</t>
  </si>
  <si>
    <t>1709</t>
  </si>
  <si>
    <t>0814</t>
  </si>
  <si>
    <t>1307</t>
  </si>
  <si>
    <t>1009</t>
  </si>
  <si>
    <t>0008</t>
  </si>
  <si>
    <t>0809</t>
  </si>
  <si>
    <t>3306</t>
  </si>
  <si>
    <t>2607</t>
  </si>
  <si>
    <t>1811</t>
  </si>
  <si>
    <t>2112</t>
  </si>
  <si>
    <t>1607</t>
  </si>
  <si>
    <t>0206</t>
  </si>
  <si>
    <t>2410</t>
  </si>
  <si>
    <t>1515</t>
  </si>
  <si>
    <t>2007</t>
  </si>
  <si>
    <t>2316</t>
  </si>
  <si>
    <t>-0215</t>
  </si>
  <si>
    <t>0010</t>
  </si>
  <si>
    <t>AGM19042</t>
  </si>
  <si>
    <t>Cake - Lots of pink</t>
  </si>
  <si>
    <t>Gfaded/TS</t>
  </si>
  <si>
    <t>AGM19043</t>
  </si>
  <si>
    <t>AGM19044</t>
  </si>
  <si>
    <t>AGM19045</t>
  </si>
  <si>
    <t>2507</t>
  </si>
  <si>
    <t>2509</t>
  </si>
  <si>
    <t>Tauntaun - 2 orange spots on rump</t>
  </si>
  <si>
    <t>3010</t>
  </si>
  <si>
    <t>2110</t>
  </si>
  <si>
    <t>1014</t>
  </si>
  <si>
    <t>-0315</t>
  </si>
  <si>
    <t>3109</t>
  </si>
  <si>
    <t>2612</t>
  </si>
  <si>
    <t>2111</t>
  </si>
  <si>
    <t>1815</t>
  </si>
  <si>
    <t>1111</t>
  </si>
  <si>
    <t>0905</t>
  </si>
  <si>
    <t>AGM19046</t>
  </si>
  <si>
    <t>AGM19047</t>
  </si>
  <si>
    <t>AGM19048</t>
  </si>
  <si>
    <t>2919</t>
  </si>
  <si>
    <t>2915</t>
  </si>
  <si>
    <t>Bantha -lime + yellow on back of neck</t>
  </si>
  <si>
    <t>2606</t>
  </si>
  <si>
    <t>Blaster - Lime + orange on left flank</t>
  </si>
  <si>
    <t>2107</t>
  </si>
  <si>
    <t>Queen Armadillo - Green/yellow flower on rump</t>
  </si>
  <si>
    <t>1212</t>
  </si>
  <si>
    <t>1114</t>
  </si>
  <si>
    <t>0812</t>
  </si>
  <si>
    <t>1007</t>
  </si>
  <si>
    <t>Ben - Lime on chest and right flank</t>
  </si>
  <si>
    <t>2715</t>
  </si>
  <si>
    <t>2813</t>
  </si>
  <si>
    <t>2911</t>
  </si>
  <si>
    <t>2706</t>
  </si>
  <si>
    <t>2307</t>
  </si>
  <si>
    <t>1714</t>
  </si>
  <si>
    <t>0811</t>
  </si>
  <si>
    <t>1105</t>
  </si>
  <si>
    <t>Grand Moff Tarkin - Yellow on chest</t>
  </si>
  <si>
    <t>0213</t>
  </si>
  <si>
    <t>0205</t>
  </si>
  <si>
    <t>AGM19049</t>
  </si>
  <si>
    <t>Stardust - Sky blue + pink.</t>
  </si>
  <si>
    <t>2707</t>
  </si>
  <si>
    <t>1305</t>
  </si>
  <si>
    <t>Emperor Palpatine - Lime green + sky blue flower on back</t>
  </si>
  <si>
    <t>AGM19050</t>
  </si>
  <si>
    <t>04162EB1AC</t>
  </si>
  <si>
    <t>3013</t>
  </si>
  <si>
    <t>2716</t>
  </si>
  <si>
    <t>2406</t>
  </si>
  <si>
    <t>1910</t>
  </si>
  <si>
    <t>1011</t>
  </si>
  <si>
    <t>1205</t>
  </si>
  <si>
    <t>-0409</t>
  </si>
  <si>
    <t>0219</t>
  </si>
  <si>
    <t>1405</t>
  </si>
  <si>
    <t>Sarlac - Pink and blue flower on bum (pink washed off)</t>
  </si>
  <si>
    <t>3006</t>
  </si>
  <si>
    <t>3014</t>
  </si>
  <si>
    <t>2807</t>
  </si>
  <si>
    <t>2015</t>
  </si>
  <si>
    <t>0807</t>
  </si>
  <si>
    <t>-0314</t>
  </si>
  <si>
    <t>0307</t>
  </si>
  <si>
    <t>AGM19051</t>
  </si>
  <si>
    <t>AGM19052</t>
  </si>
  <si>
    <t>04162EC06A</t>
  </si>
  <si>
    <t xml:space="preserve">Kyle Catarn - Blue + yellow </t>
  </si>
  <si>
    <t>2415</t>
  </si>
  <si>
    <t>1806</t>
  </si>
  <si>
    <t>-0113</t>
  </si>
  <si>
    <t>AGM19053</t>
  </si>
  <si>
    <t>Greedo - two pink and 1 orange dot on shoulders</t>
  </si>
  <si>
    <t>AGM19054</t>
  </si>
  <si>
    <t xml:space="preserve">Choofbacca - orange moustach &amp; orange pink orange stripes </t>
  </si>
  <si>
    <t>1519</t>
  </si>
  <si>
    <t>AGM19055</t>
  </si>
  <si>
    <t>Jedi - orange pink orange on rump</t>
  </si>
  <si>
    <t>DeathStar - pink on flanks orange in middle</t>
  </si>
  <si>
    <t>TH/Gfaded</t>
  </si>
  <si>
    <t>AGM19056</t>
  </si>
  <si>
    <t>AGM19057</t>
  </si>
  <si>
    <t>AGM19058</t>
  </si>
  <si>
    <t>AGM19059</t>
  </si>
  <si>
    <t>Groot- yellow stripe with lime green dot</t>
  </si>
  <si>
    <t>Anakin - Lots of yellow and lime green dots on rump</t>
  </si>
  <si>
    <t>Nerfherder - yellow head + yellow strip on back and dots on bum</t>
  </si>
  <si>
    <t>Hoth - series of lime green dots on back and bum</t>
  </si>
  <si>
    <t>0417083096</t>
  </si>
  <si>
    <t>AGM19060</t>
  </si>
  <si>
    <t>AGM19061</t>
  </si>
  <si>
    <t>AGM19062</t>
  </si>
  <si>
    <t>Tatooine - 2 dark green spots on left flank and two lime on right</t>
  </si>
  <si>
    <t>George - 2 yellow an 2 blue spots on back and blue on bum</t>
  </si>
  <si>
    <t>AGM19063</t>
  </si>
  <si>
    <t>Lightsaber - Sky blue + dark green overlapping on back</t>
  </si>
  <si>
    <t>AGM19064</t>
  </si>
  <si>
    <t>PewPew - Dark green + sky blue strips on lower head looks like 'f''</t>
  </si>
  <si>
    <t>AGM19065</t>
  </si>
  <si>
    <t>Wookie - Orange + blue.</t>
  </si>
  <si>
    <t>AGM19066</t>
  </si>
  <si>
    <t>Han - Blue + blue and yellow on rump</t>
  </si>
  <si>
    <t>AGM19067</t>
  </si>
  <si>
    <t>AGM19068</t>
  </si>
  <si>
    <t>04170839ED</t>
  </si>
  <si>
    <t>041708513F</t>
  </si>
  <si>
    <t>Bfaded/Bfaded</t>
  </si>
  <si>
    <t>0605</t>
  </si>
  <si>
    <t>0317</t>
  </si>
  <si>
    <t xml:space="preserve">Claire - Yellow Head </t>
  </si>
  <si>
    <t>Blue Claire - Blue Head</t>
  </si>
  <si>
    <t>0017</t>
  </si>
  <si>
    <t>AGM19069</t>
  </si>
  <si>
    <t>AGM19070</t>
  </si>
  <si>
    <t>AGM19071</t>
  </si>
  <si>
    <t>Jek Porkins - Pink back of head + lime chest</t>
  </si>
  <si>
    <t>1404</t>
  </si>
  <si>
    <t>Wedge - Lime Green Rump</t>
  </si>
  <si>
    <t>1606</t>
  </si>
  <si>
    <t>AT-AT - Pink Shoulder</t>
  </si>
  <si>
    <t>1406</t>
  </si>
  <si>
    <t>1506</t>
  </si>
  <si>
    <t>0117</t>
  </si>
  <si>
    <t>Lucas - 2 yellow dots, blue strip 'smiley face' repainted mistletoe</t>
  </si>
  <si>
    <t>AGM19072</t>
  </si>
  <si>
    <t>AGM19073</t>
  </si>
  <si>
    <t>Rebecca - Dark green + orange on head</t>
  </si>
  <si>
    <t>Cameron - Dark green + orange on shoulders</t>
  </si>
  <si>
    <t>0909</t>
  </si>
  <si>
    <t>0607</t>
  </si>
  <si>
    <t>AGM19074</t>
  </si>
  <si>
    <t>sky blue on side, l green on back</t>
  </si>
  <si>
    <t>AGM19075</t>
  </si>
  <si>
    <t>1413</t>
  </si>
  <si>
    <t>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</si>
</sst>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36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49" fontId="0" fillId="0" borderId="0" xfId="0" applyNumberFormat="1"/>
    <xf numFmtId="2" fontId="1" fillId="0" borderId="1" xfId="0" applyNumberFormat="1" applyFont="1" applyBorder="1"/>
    <xf numFmtId="49" fontId="0" fillId="0" borderId="0" xfId="0" applyNumberFormat="1" applyFill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0" xfId="0" applyFont="1" applyFill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2" fontId="1" fillId="0" borderId="0" xfId="0" applyNumberFormat="1" applyFont="1" applyFill="1" applyBorder="1"/>
    <xf numFmtId="1" fontId="3" fillId="0" borderId="0" xfId="0" applyNumberFormat="1" applyFont="1"/>
    <xf numFmtId="49" fontId="0" fillId="0" borderId="0" xfId="0" applyNumberFormat="1" applyFill="1" applyAlignment="1">
      <alignment horizontal="left"/>
    </xf>
    <xf numFmtId="49" fontId="0" fillId="0" borderId="0" xfId="0" applyNumberFormat="1" applyFont="1" applyFill="1"/>
    <xf numFmtId="0" fontId="0" fillId="0" borderId="0" xfId="0" applyFont="1" applyFill="1" applyBorder="1"/>
    <xf numFmtId="2" fontId="0" fillId="0" borderId="0" xfId="0" applyNumberFormat="1" applyFont="1" applyFill="1"/>
    <xf numFmtId="49" fontId="0" fillId="0" borderId="0" xfId="0" applyNumberFormat="1" applyFill="1" applyBorder="1"/>
    <xf numFmtId="49" fontId="2" fillId="0" borderId="0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 applyFill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49" fontId="1" fillId="0" borderId="0" xfId="0" applyNumberFormat="1" applyFont="1" applyFill="1"/>
    <xf numFmtId="49" fontId="0" fillId="0" borderId="0" xfId="0" applyNumberFormat="1" applyFont="1" applyFill="1"/>
    <xf numFmtId="49" fontId="0" fillId="0" borderId="0" xfId="0" applyNumberFormat="1" applyFill="1" applyBorder="1"/>
    <xf numFmtId="49" fontId="1" fillId="0" borderId="0" xfId="0" applyNumberFormat="1" applyFont="1" applyFill="1" applyBorder="1"/>
    <xf numFmtId="0" fontId="0" fillId="0" borderId="0" xfId="0" applyNumberFormat="1" applyFont="1" applyFill="1"/>
    <xf numFmtId="0" fontId="0" fillId="0" borderId="0" xfId="0" applyNumberFormat="1" applyFill="1"/>
    <xf numFmtId="49" fontId="0" fillId="0" borderId="0" xfId="0" applyNumberFormat="1" applyFill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0" fillId="0" borderId="0" xfId="0" applyFont="1" applyFill="1"/>
    <xf numFmtId="49" fontId="0" fillId="0" borderId="0" xfId="0" applyNumberFormat="1" applyFont="1" applyFill="1"/>
    <xf numFmtId="49" fontId="2" fillId="0" borderId="0" xfId="0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49" fontId="0" fillId="2" borderId="0" xfId="0" applyNumberFormat="1" applyFill="1"/>
    <xf numFmtId="49" fontId="3" fillId="0" borderId="0" xfId="0" applyNumberFormat="1" applyFont="1"/>
    <xf numFmtId="14" fontId="1" fillId="0" borderId="0" xfId="0" applyNumberFormat="1" applyFont="1" applyFill="1"/>
    <xf numFmtId="49" fontId="0" fillId="3" borderId="0" xfId="0" applyNumberFormat="1" applyFill="1"/>
    <xf numFmtId="0" fontId="4" fillId="0" borderId="0" xfId="0" applyFont="1"/>
  </cellXfs>
  <cellStyles count="3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Normal" xfId="0" builtinId="0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0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6.4994298126527933E-2"/>
          <c:y val="0.14497185306587801"/>
          <c:w val="0.89250230790115703"/>
          <c:h val="0.80014875120248063"/>
        </c:manualLayout>
      </c:layout>
      <c:scatterChart>
        <c:scatterStyle val="lineMarker"/>
        <c:varyColors val="0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'2019-2020'!$G$2:$BO$2</c:f>
              <c:numCache>
                <c:formatCode>m/d/yyyy</c:formatCode>
                <c:ptCount val="61"/>
                <c:pt idx="0">
                  <c:v>43405</c:v>
                </c:pt>
                <c:pt idx="1">
                  <c:v>43406</c:v>
                </c:pt>
                <c:pt idx="2">
                  <c:v>43407</c:v>
                </c:pt>
                <c:pt idx="3">
                  <c:v>43408</c:v>
                </c:pt>
                <c:pt idx="4">
                  <c:v>43409</c:v>
                </c:pt>
                <c:pt idx="5">
                  <c:v>43410</c:v>
                </c:pt>
                <c:pt idx="6">
                  <c:v>43411</c:v>
                </c:pt>
                <c:pt idx="7">
                  <c:v>43412</c:v>
                </c:pt>
                <c:pt idx="8">
                  <c:v>43413</c:v>
                </c:pt>
                <c:pt idx="9">
                  <c:v>43414</c:v>
                </c:pt>
                <c:pt idx="10">
                  <c:v>43415</c:v>
                </c:pt>
                <c:pt idx="11">
                  <c:v>43416</c:v>
                </c:pt>
                <c:pt idx="12">
                  <c:v>43417</c:v>
                </c:pt>
                <c:pt idx="13">
                  <c:v>43418</c:v>
                </c:pt>
                <c:pt idx="14">
                  <c:v>43419</c:v>
                </c:pt>
                <c:pt idx="15">
                  <c:v>43420</c:v>
                </c:pt>
                <c:pt idx="16">
                  <c:v>43421</c:v>
                </c:pt>
                <c:pt idx="17">
                  <c:v>43422</c:v>
                </c:pt>
                <c:pt idx="18">
                  <c:v>43423</c:v>
                </c:pt>
                <c:pt idx="19">
                  <c:v>43424</c:v>
                </c:pt>
                <c:pt idx="20">
                  <c:v>43425</c:v>
                </c:pt>
                <c:pt idx="21">
                  <c:v>43426</c:v>
                </c:pt>
                <c:pt idx="22">
                  <c:v>43427</c:v>
                </c:pt>
                <c:pt idx="23">
                  <c:v>43428</c:v>
                </c:pt>
                <c:pt idx="24">
                  <c:v>43429</c:v>
                </c:pt>
                <c:pt idx="25">
                  <c:v>43430</c:v>
                </c:pt>
                <c:pt idx="26">
                  <c:v>43431</c:v>
                </c:pt>
                <c:pt idx="27">
                  <c:v>43432</c:v>
                </c:pt>
                <c:pt idx="28">
                  <c:v>43433</c:v>
                </c:pt>
                <c:pt idx="29">
                  <c:v>43434</c:v>
                </c:pt>
                <c:pt idx="30">
                  <c:v>43435</c:v>
                </c:pt>
                <c:pt idx="31">
                  <c:v>43436</c:v>
                </c:pt>
                <c:pt idx="32">
                  <c:v>43437</c:v>
                </c:pt>
                <c:pt idx="33">
                  <c:v>43438</c:v>
                </c:pt>
                <c:pt idx="34">
                  <c:v>43439</c:v>
                </c:pt>
                <c:pt idx="35">
                  <c:v>43440</c:v>
                </c:pt>
                <c:pt idx="36">
                  <c:v>43441</c:v>
                </c:pt>
                <c:pt idx="37">
                  <c:v>43442</c:v>
                </c:pt>
                <c:pt idx="38">
                  <c:v>43443</c:v>
                </c:pt>
                <c:pt idx="39">
                  <c:v>43444</c:v>
                </c:pt>
                <c:pt idx="40">
                  <c:v>43445</c:v>
                </c:pt>
                <c:pt idx="41">
                  <c:v>43446</c:v>
                </c:pt>
                <c:pt idx="42">
                  <c:v>43447</c:v>
                </c:pt>
                <c:pt idx="43">
                  <c:v>43448</c:v>
                </c:pt>
                <c:pt idx="44">
                  <c:v>43449</c:v>
                </c:pt>
                <c:pt idx="45" formatCode="d\-mmm\-yy">
                  <c:v>43450</c:v>
                </c:pt>
                <c:pt idx="46" formatCode="d\-mmm\-yy">
                  <c:v>43451</c:v>
                </c:pt>
                <c:pt idx="47" formatCode="d\-mmm\-yy">
                  <c:v>43452</c:v>
                </c:pt>
                <c:pt idx="48" formatCode="d\-mmm\-yy">
                  <c:v>43453</c:v>
                </c:pt>
                <c:pt idx="49" formatCode="d\-mmm\-yy">
                  <c:v>43454</c:v>
                </c:pt>
                <c:pt idx="50" formatCode="d\-mmm\-yy">
                  <c:v>43455</c:v>
                </c:pt>
                <c:pt idx="51" formatCode="d\-mmm\-yy">
                  <c:v>43456</c:v>
                </c:pt>
                <c:pt idx="52" formatCode="d\-mmm\-yy">
                  <c:v>43457</c:v>
                </c:pt>
                <c:pt idx="53" formatCode="d\-mmm\-yy">
                  <c:v>43458</c:v>
                </c:pt>
                <c:pt idx="54" formatCode="d\-mmm\-yy">
                  <c:v>43459</c:v>
                </c:pt>
                <c:pt idx="55" formatCode="d\-mmm\-yy">
                  <c:v>43460</c:v>
                </c:pt>
                <c:pt idx="56" formatCode="d\-mmm\-yy">
                  <c:v>43461</c:v>
                </c:pt>
                <c:pt idx="57" formatCode="d\-mmm\-yy">
                  <c:v>43462</c:v>
                </c:pt>
                <c:pt idx="58" formatCode="d\-mmm\-yy">
                  <c:v>43463</c:v>
                </c:pt>
                <c:pt idx="59" formatCode="d\-mmm\-yy">
                  <c:v>43464</c:v>
                </c:pt>
                <c:pt idx="60" formatCode="d\-mmm\-yy">
                  <c:v>43465</c:v>
                </c:pt>
              </c:numCache>
            </c:numRef>
          </c:xVal>
          <c:yVal>
            <c:numRef>
              <c:f>'2019-2020'!$G$1:$BO$1</c:f>
              <c:numCache>
                <c:formatCode>@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13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18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  <c:pt idx="29">
                  <c:v>26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28</c:v>
                </c:pt>
                <c:pt idx="35">
                  <c:v>25</c:v>
                </c:pt>
                <c:pt idx="36">
                  <c:v>27</c:v>
                </c:pt>
                <c:pt idx="37">
                  <c:v>28</c:v>
                </c:pt>
                <c:pt idx="38">
                  <c:v>32</c:v>
                </c:pt>
                <c:pt idx="39">
                  <c:v>32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32</c:v>
                </c:pt>
                <c:pt idx="44">
                  <c:v>30</c:v>
                </c:pt>
                <c:pt idx="45" formatCode="0">
                  <c:v>28</c:v>
                </c:pt>
                <c:pt idx="46" formatCode="0">
                  <c:v>27</c:v>
                </c:pt>
                <c:pt idx="47" formatCode="0">
                  <c:v>29</c:v>
                </c:pt>
                <c:pt idx="48" formatCode="0">
                  <c:v>28</c:v>
                </c:pt>
                <c:pt idx="49" formatCode="0">
                  <c:v>25</c:v>
                </c:pt>
                <c:pt idx="50" formatCode="0">
                  <c:v>27</c:v>
                </c:pt>
                <c:pt idx="51" formatCode="0">
                  <c:v>27</c:v>
                </c:pt>
                <c:pt idx="52" formatCode="0">
                  <c:v>27</c:v>
                </c:pt>
                <c:pt idx="53" formatCode="0">
                  <c:v>24</c:v>
                </c:pt>
                <c:pt idx="54" formatCode="0">
                  <c:v>24</c:v>
                </c:pt>
                <c:pt idx="55" formatCode="0">
                  <c:v>22</c:v>
                </c:pt>
                <c:pt idx="56" formatCode="0">
                  <c:v>21</c:v>
                </c:pt>
                <c:pt idx="57" formatCode="0">
                  <c:v>19</c:v>
                </c:pt>
                <c:pt idx="58" formatCode="0">
                  <c:v>16</c:v>
                </c:pt>
                <c:pt idx="59" formatCode="0">
                  <c:v>12</c:v>
                </c:pt>
                <c:pt idx="60" formatCode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F-462C-B3FB-288044C2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1712"/>
        <c:axId val="49654016"/>
      </c:scatterChart>
      <c:valAx>
        <c:axId val="4965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crossAx val="49654016"/>
        <c:crosses val="autoZero"/>
        <c:crossBetween val="midCat"/>
        <c:majorUnit val="10"/>
      </c:valAx>
      <c:valAx>
        <c:axId val="49654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crossAx val="49651712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1048576"/>
  <sheetViews>
    <sheetView tabSelected="1" workbookViewId="0">
      <selection activeCell="AV76" sqref="AV76"/>
    </sheetView>
  </sheetViews>
  <sheetFormatPr defaultColWidth="8.85546875" defaultRowHeight="12.75" x14ac:dyDescent="0.2"/>
  <cols>
    <col min="1" max="1" width="10.85546875" style="9" customWidth="1"/>
    <col min="2" max="2" width="12.85546875" style="40" customWidth="1"/>
    <col min="3" max="3" width="11.140625" customWidth="1"/>
    <col min="4" max="4" width="68.85546875" style="8" customWidth="1"/>
    <col min="5" max="5" width="7.28515625" style="1" customWidth="1"/>
    <col min="6" max="6" width="15.5703125" style="1" bestFit="1" customWidth="1"/>
    <col min="7" max="7" width="11.42578125" style="1" customWidth="1"/>
    <col min="8" max="8" width="10.42578125" style="1" bestFit="1" customWidth="1"/>
    <col min="9" max="35" width="10.140625" style="1" bestFit="1" customWidth="1"/>
    <col min="36" max="36" width="10" style="1" customWidth="1"/>
    <col min="37" max="37" width="10.7109375" style="1" customWidth="1"/>
    <col min="38" max="38" width="11.42578125" style="1" customWidth="1"/>
    <col min="39" max="39" width="11" style="1" customWidth="1"/>
    <col min="40" max="40" width="11.28515625" style="1" customWidth="1"/>
    <col min="41" max="41" width="11.42578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42578125" style="1" customWidth="1"/>
    <col min="49" max="49" width="10.140625" style="1" bestFit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42578125" style="1" customWidth="1"/>
    <col min="55" max="55" width="13.42578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0" width="10.42578125" style="1" bestFit="1" customWidth="1"/>
    <col min="61" max="61" width="12" style="1" bestFit="1" customWidth="1"/>
    <col min="62" max="62" width="10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 x14ac:dyDescent="0.25">
      <c r="D1" s="53" t="s">
        <v>5</v>
      </c>
      <c r="E1" s="53"/>
      <c r="F1" s="53"/>
      <c r="G1" s="50">
        <f t="shared" ref="G1:AL1" si="0">COUNTA(G3:G262)-COUNTIF(G3:G262,"IT")</f>
        <v>0</v>
      </c>
      <c r="H1" s="50">
        <f t="shared" si="0"/>
        <v>1</v>
      </c>
      <c r="I1" s="50">
        <f t="shared" si="0"/>
        <v>1</v>
      </c>
      <c r="J1" s="50">
        <f t="shared" si="0"/>
        <v>1</v>
      </c>
      <c r="K1" s="50">
        <f t="shared" si="0"/>
        <v>3</v>
      </c>
      <c r="L1" s="50">
        <f t="shared" si="0"/>
        <v>3</v>
      </c>
      <c r="M1" s="50">
        <f t="shared" si="0"/>
        <v>4</v>
      </c>
      <c r="N1" s="50">
        <f t="shared" si="0"/>
        <v>5</v>
      </c>
      <c r="O1" s="50">
        <f t="shared" si="0"/>
        <v>13</v>
      </c>
      <c r="P1" s="50">
        <f t="shared" si="0"/>
        <v>12</v>
      </c>
      <c r="Q1" s="50">
        <f t="shared" si="0"/>
        <v>14</v>
      </c>
      <c r="R1" s="50">
        <f t="shared" si="0"/>
        <v>16</v>
      </c>
      <c r="S1" s="50">
        <f t="shared" si="0"/>
        <v>15</v>
      </c>
      <c r="T1" s="50">
        <f t="shared" si="0"/>
        <v>15</v>
      </c>
      <c r="U1" s="50">
        <f t="shared" si="0"/>
        <v>16</v>
      </c>
      <c r="V1" s="50">
        <f t="shared" si="0"/>
        <v>17</v>
      </c>
      <c r="W1" s="50">
        <f t="shared" si="0"/>
        <v>18</v>
      </c>
      <c r="X1" s="50">
        <f t="shared" si="0"/>
        <v>19</v>
      </c>
      <c r="Y1" s="50">
        <f t="shared" si="0"/>
        <v>18</v>
      </c>
      <c r="Z1" s="50">
        <f t="shared" si="0"/>
        <v>20</v>
      </c>
      <c r="AA1" s="50">
        <f t="shared" si="0"/>
        <v>21</v>
      </c>
      <c r="AB1" s="50">
        <f t="shared" si="0"/>
        <v>23</v>
      </c>
      <c r="AC1" s="50">
        <f t="shared" si="0"/>
        <v>26</v>
      </c>
      <c r="AD1" s="50">
        <f t="shared" si="0"/>
        <v>27</v>
      </c>
      <c r="AE1" s="50">
        <f t="shared" si="0"/>
        <v>28</v>
      </c>
      <c r="AF1" s="50">
        <f t="shared" si="0"/>
        <v>29</v>
      </c>
      <c r="AG1" s="50">
        <f t="shared" si="0"/>
        <v>28</v>
      </c>
      <c r="AH1" s="50">
        <f t="shared" si="0"/>
        <v>28</v>
      </c>
      <c r="AI1" s="50">
        <f t="shared" si="0"/>
        <v>29</v>
      </c>
      <c r="AJ1" s="50">
        <f t="shared" si="0"/>
        <v>26</v>
      </c>
      <c r="AK1" s="50">
        <f t="shared" si="0"/>
        <v>26</v>
      </c>
      <c r="AL1" s="50">
        <f t="shared" si="0"/>
        <v>27</v>
      </c>
      <c r="AM1" s="50">
        <f t="shared" ref="AM1:BP1" si="1">COUNTA(AM3:AM262)-COUNTIF(AM3:AM262,"IT")</f>
        <v>27</v>
      </c>
      <c r="AN1" s="50">
        <f t="shared" si="1"/>
        <v>28</v>
      </c>
      <c r="AO1" s="50">
        <f t="shared" si="1"/>
        <v>28</v>
      </c>
      <c r="AP1" s="50">
        <f t="shared" si="1"/>
        <v>25</v>
      </c>
      <c r="AQ1" s="50">
        <f t="shared" si="1"/>
        <v>27</v>
      </c>
      <c r="AR1" s="50">
        <f t="shared" si="1"/>
        <v>28</v>
      </c>
      <c r="AS1" s="50">
        <f t="shared" si="1"/>
        <v>32</v>
      </c>
      <c r="AT1" s="50">
        <f t="shared" si="1"/>
        <v>32</v>
      </c>
      <c r="AU1" s="50">
        <f t="shared" si="1"/>
        <v>31</v>
      </c>
      <c r="AV1" s="50">
        <f t="shared" si="1"/>
        <v>31</v>
      </c>
      <c r="AW1" s="50">
        <f t="shared" si="1"/>
        <v>31</v>
      </c>
      <c r="AX1" s="50">
        <f t="shared" si="1"/>
        <v>32</v>
      </c>
      <c r="AY1" s="50">
        <f t="shared" si="1"/>
        <v>30</v>
      </c>
      <c r="AZ1" s="21">
        <f t="shared" si="1"/>
        <v>28</v>
      </c>
      <c r="BA1" s="21">
        <f t="shared" si="1"/>
        <v>27</v>
      </c>
      <c r="BB1" s="21">
        <f t="shared" si="1"/>
        <v>29</v>
      </c>
      <c r="BC1" s="21">
        <f t="shared" si="1"/>
        <v>28</v>
      </c>
      <c r="BD1" s="21">
        <f t="shared" si="1"/>
        <v>25</v>
      </c>
      <c r="BE1" s="21">
        <f t="shared" si="1"/>
        <v>27</v>
      </c>
      <c r="BF1" s="21">
        <f t="shared" si="1"/>
        <v>27</v>
      </c>
      <c r="BG1" s="21">
        <f t="shared" si="1"/>
        <v>27</v>
      </c>
      <c r="BH1" s="21">
        <f t="shared" si="1"/>
        <v>24</v>
      </c>
      <c r="BI1" s="21">
        <f t="shared" si="1"/>
        <v>24</v>
      </c>
      <c r="BJ1" s="21">
        <f t="shared" si="1"/>
        <v>22</v>
      </c>
      <c r="BK1" s="21">
        <f t="shared" si="1"/>
        <v>21</v>
      </c>
      <c r="BL1" s="21">
        <f t="shared" si="1"/>
        <v>19</v>
      </c>
      <c r="BM1" s="21">
        <f t="shared" si="1"/>
        <v>16</v>
      </c>
      <c r="BN1" s="21">
        <f t="shared" si="1"/>
        <v>12</v>
      </c>
      <c r="BO1" s="21">
        <f t="shared" si="1"/>
        <v>13</v>
      </c>
      <c r="BP1" s="21">
        <f t="shared" si="1"/>
        <v>0</v>
      </c>
      <c r="BQ1" s="21">
        <f t="shared" ref="BQ1:BR1" si="2">COUNTA(BQ3:BQ262)-COUNTIF(BQ3:BQ262,"IT")</f>
        <v>0</v>
      </c>
      <c r="BR1" s="21">
        <f t="shared" si="2"/>
        <v>0</v>
      </c>
      <c r="BS1" s="21">
        <f t="shared" ref="BS1:BT1" si="3">COUNTA(BS3:BS262)-COUNTIF(BS3:BS262,"IT")</f>
        <v>0</v>
      </c>
      <c r="BT1" s="21">
        <f t="shared" si="3"/>
        <v>0</v>
      </c>
      <c r="BU1" s="21">
        <f t="shared" ref="BU1:BV1" si="4">COUNTA(BU3:BU262)-COUNTIF(BU3:BU262,"IT")</f>
        <v>0</v>
      </c>
      <c r="BV1" s="21">
        <f t="shared" si="4"/>
        <v>0</v>
      </c>
      <c r="BW1" s="21">
        <f t="shared" ref="BW1:BX1" si="5">COUNTA(BW3:BW262)-COUNTIF(BW3:BW262,"IT")</f>
        <v>0</v>
      </c>
      <c r="BX1" s="21">
        <f t="shared" si="5"/>
        <v>0</v>
      </c>
      <c r="BY1" s="21">
        <f t="shared" ref="BY1" si="6">COUNTA(BY3:BY262)-COUNTIF(BY3:BY262,"IT")</f>
        <v>0</v>
      </c>
    </row>
    <row r="2" spans="1:104" s="10" customFormat="1" x14ac:dyDescent="0.2">
      <c r="A2" s="10" t="s">
        <v>3</v>
      </c>
      <c r="B2" s="34" t="s">
        <v>7</v>
      </c>
      <c r="C2" s="10" t="s">
        <v>2</v>
      </c>
      <c r="D2" s="10" t="s">
        <v>6</v>
      </c>
      <c r="E2" s="11" t="s">
        <v>0</v>
      </c>
      <c r="F2" s="12" t="s">
        <v>1</v>
      </c>
      <c r="G2" s="51">
        <v>43405</v>
      </c>
      <c r="H2" s="51">
        <v>43406</v>
      </c>
      <c r="I2" s="51">
        <v>43407</v>
      </c>
      <c r="J2" s="51">
        <v>43408</v>
      </c>
      <c r="K2" s="51">
        <v>43409</v>
      </c>
      <c r="L2" s="51">
        <v>43410</v>
      </c>
      <c r="M2" s="51">
        <v>43411</v>
      </c>
      <c r="N2" s="51">
        <v>43412</v>
      </c>
      <c r="O2" s="51">
        <v>43413</v>
      </c>
      <c r="P2" s="51">
        <v>43414</v>
      </c>
      <c r="Q2" s="51">
        <v>43415</v>
      </c>
      <c r="R2" s="51">
        <v>43416</v>
      </c>
      <c r="S2" s="51">
        <v>43417</v>
      </c>
      <c r="T2" s="51">
        <v>43418</v>
      </c>
      <c r="U2" s="51">
        <v>43419</v>
      </c>
      <c r="V2" s="51">
        <v>43420</v>
      </c>
      <c r="W2" s="51">
        <v>43421</v>
      </c>
      <c r="X2" s="51">
        <v>43422</v>
      </c>
      <c r="Y2" s="51">
        <v>43423</v>
      </c>
      <c r="Z2" s="51">
        <v>43424</v>
      </c>
      <c r="AA2" s="51">
        <v>43425</v>
      </c>
      <c r="AB2" s="51">
        <v>43426</v>
      </c>
      <c r="AC2" s="51">
        <v>43427</v>
      </c>
      <c r="AD2" s="51">
        <v>43428</v>
      </c>
      <c r="AE2" s="51">
        <v>43429</v>
      </c>
      <c r="AF2" s="51">
        <v>43430</v>
      </c>
      <c r="AG2" s="51">
        <v>43431</v>
      </c>
      <c r="AH2" s="51">
        <v>43432</v>
      </c>
      <c r="AI2" s="51">
        <v>43433</v>
      </c>
      <c r="AJ2" s="51">
        <v>43434</v>
      </c>
      <c r="AK2" s="51">
        <v>43435</v>
      </c>
      <c r="AL2" s="51">
        <v>43436</v>
      </c>
      <c r="AM2" s="51">
        <v>43437</v>
      </c>
      <c r="AN2" s="51">
        <v>43438</v>
      </c>
      <c r="AO2" s="51">
        <v>43439</v>
      </c>
      <c r="AP2" s="51">
        <v>43440</v>
      </c>
      <c r="AQ2" s="51">
        <v>43441</v>
      </c>
      <c r="AR2" s="51">
        <v>43442</v>
      </c>
      <c r="AS2" s="51">
        <v>43443</v>
      </c>
      <c r="AT2" s="51">
        <v>43444</v>
      </c>
      <c r="AU2" s="51">
        <v>43445</v>
      </c>
      <c r="AV2" s="51">
        <v>43446</v>
      </c>
      <c r="AW2" s="51">
        <v>43447</v>
      </c>
      <c r="AX2" s="51">
        <v>43448</v>
      </c>
      <c r="AY2" s="51">
        <v>43449</v>
      </c>
      <c r="AZ2" s="13">
        <v>43450</v>
      </c>
      <c r="BA2" s="13">
        <v>43451</v>
      </c>
      <c r="BB2" s="13">
        <v>43452</v>
      </c>
      <c r="BC2" s="13">
        <v>43453</v>
      </c>
      <c r="BD2" s="13">
        <v>43454</v>
      </c>
      <c r="BE2" s="13">
        <v>43455</v>
      </c>
      <c r="BF2" s="13">
        <v>43456</v>
      </c>
      <c r="BG2" s="13">
        <v>43457</v>
      </c>
      <c r="BH2" s="13">
        <v>43458</v>
      </c>
      <c r="BI2" s="13">
        <v>43459</v>
      </c>
      <c r="BJ2" s="13">
        <v>43460</v>
      </c>
      <c r="BK2" s="13">
        <v>43461</v>
      </c>
      <c r="BL2" s="13">
        <v>43462</v>
      </c>
      <c r="BM2" s="13">
        <v>43463</v>
      </c>
      <c r="BN2" s="13">
        <v>43464</v>
      </c>
      <c r="BO2" s="13">
        <v>43465</v>
      </c>
      <c r="BP2" s="13">
        <v>43466</v>
      </c>
      <c r="BQ2" s="13">
        <v>43467</v>
      </c>
      <c r="BR2" s="13">
        <v>43468</v>
      </c>
      <c r="BS2" s="13">
        <v>43469</v>
      </c>
      <c r="BT2" s="13">
        <v>43470</v>
      </c>
      <c r="BU2" s="13">
        <v>43471</v>
      </c>
      <c r="BV2" s="13">
        <v>43472</v>
      </c>
      <c r="BW2" s="13">
        <v>43473</v>
      </c>
      <c r="BX2" s="13">
        <v>43474</v>
      </c>
      <c r="BY2" s="13">
        <v>43475</v>
      </c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</row>
    <row r="3" spans="1:104" x14ac:dyDescent="0.2">
      <c r="A3"/>
      <c r="B3" s="1" t="s">
        <v>22</v>
      </c>
      <c r="C3" s="7" t="s">
        <v>21</v>
      </c>
      <c r="D3" t="s">
        <v>161</v>
      </c>
      <c r="E3" t="s">
        <v>9</v>
      </c>
      <c r="F3" t="s">
        <v>8</v>
      </c>
      <c r="H3" s="1">
        <v>2208</v>
      </c>
      <c r="I3" s="1">
        <v>2208</v>
      </c>
      <c r="J3" s="1">
        <v>2208</v>
      </c>
      <c r="K3" s="1">
        <v>2208</v>
      </c>
      <c r="L3" s="1">
        <v>2308</v>
      </c>
      <c r="M3" s="1">
        <v>2410</v>
      </c>
      <c r="N3" s="1">
        <v>2410</v>
      </c>
      <c r="O3" s="1">
        <v>2012</v>
      </c>
      <c r="P3" s="1" t="s">
        <v>197</v>
      </c>
      <c r="Q3" s="1" t="s">
        <v>208</v>
      </c>
      <c r="R3" s="1" t="s">
        <v>223</v>
      </c>
      <c r="S3" s="1" t="s">
        <v>235</v>
      </c>
      <c r="T3" s="1" t="s">
        <v>248</v>
      </c>
      <c r="U3" s="1" t="s">
        <v>248</v>
      </c>
      <c r="V3" s="1" t="s">
        <v>264</v>
      </c>
      <c r="W3" s="1" t="s">
        <v>264</v>
      </c>
      <c r="X3" s="1" t="s">
        <v>264</v>
      </c>
      <c r="Y3" s="1" t="s">
        <v>235</v>
      </c>
      <c r="Z3" s="1" t="s">
        <v>264</v>
      </c>
      <c r="AA3" s="1" t="s">
        <v>311</v>
      </c>
      <c r="AB3" s="1" t="s">
        <v>248</v>
      </c>
      <c r="AC3" s="4" t="s">
        <v>351</v>
      </c>
      <c r="AD3" s="1" t="s">
        <v>363</v>
      </c>
      <c r="AE3" s="1" t="s">
        <v>170</v>
      </c>
      <c r="AF3" s="1" t="s">
        <v>170</v>
      </c>
      <c r="AG3" s="1" t="s">
        <v>170</v>
      </c>
      <c r="AH3" s="1" t="s">
        <v>170</v>
      </c>
      <c r="AI3" s="1" t="s">
        <v>170</v>
      </c>
      <c r="AJ3" s="1" t="s">
        <v>170</v>
      </c>
      <c r="AK3" s="1" t="s">
        <v>170</v>
      </c>
      <c r="AL3" s="1" t="s">
        <v>170</v>
      </c>
      <c r="AM3" s="1" t="s">
        <v>465</v>
      </c>
      <c r="AN3" s="1" t="s">
        <v>481</v>
      </c>
      <c r="AO3" s="1" t="s">
        <v>456</v>
      </c>
      <c r="AP3" s="1" t="s">
        <v>466</v>
      </c>
      <c r="AQ3" s="1" t="s">
        <v>517</v>
      </c>
      <c r="AR3" s="1" t="s">
        <v>444</v>
      </c>
      <c r="AS3" s="1" t="s">
        <v>481</v>
      </c>
      <c r="AT3" s="1" t="s">
        <v>548</v>
      </c>
      <c r="AU3" s="1" t="s">
        <v>208</v>
      </c>
      <c r="AV3" s="1" t="s">
        <v>548</v>
      </c>
      <c r="AW3" s="1" t="s">
        <v>388</v>
      </c>
      <c r="AX3" s="1" t="s">
        <v>481</v>
      </c>
      <c r="AY3" s="1" t="s">
        <v>388</v>
      </c>
      <c r="AZ3">
        <v>1907</v>
      </c>
      <c r="BA3">
        <v>1907</v>
      </c>
      <c r="BB3">
        <v>1809</v>
      </c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</row>
    <row r="4" spans="1:104" x14ac:dyDescent="0.2">
      <c r="A4"/>
      <c r="B4" s="1" t="s">
        <v>13</v>
      </c>
      <c r="C4" s="43" t="s">
        <v>162</v>
      </c>
      <c r="D4" t="s">
        <v>610</v>
      </c>
      <c r="E4" t="s">
        <v>10</v>
      </c>
      <c r="F4" t="s">
        <v>8</v>
      </c>
      <c r="K4" s="1">
        <v>3406</v>
      </c>
      <c r="L4" s="1">
        <v>3210</v>
      </c>
      <c r="M4" s="1">
        <v>3214</v>
      </c>
      <c r="N4" s="1">
        <v>3208</v>
      </c>
      <c r="O4" s="1" t="s">
        <v>170</v>
      </c>
      <c r="R4" s="1" t="s">
        <v>170</v>
      </c>
      <c r="AZ4">
        <v>2807</v>
      </c>
      <c r="BA4">
        <v>3008</v>
      </c>
      <c r="BB4">
        <v>2807</v>
      </c>
      <c r="BC4">
        <v>2907</v>
      </c>
      <c r="BD4">
        <v>3008</v>
      </c>
      <c r="BE4">
        <v>3008</v>
      </c>
      <c r="BF4">
        <v>2907</v>
      </c>
      <c r="BG4">
        <v>3008</v>
      </c>
      <c r="BH4">
        <v>2907</v>
      </c>
      <c r="BI4">
        <v>2908</v>
      </c>
      <c r="BJ4">
        <v>2908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</row>
    <row r="5" spans="1:104" x14ac:dyDescent="0.2">
      <c r="A5" t="s">
        <v>168</v>
      </c>
      <c r="B5" s="4" t="s">
        <v>16</v>
      </c>
      <c r="C5" s="43" t="s">
        <v>163</v>
      </c>
      <c r="D5" s="8" t="s">
        <v>164</v>
      </c>
      <c r="E5" t="s">
        <v>15</v>
      </c>
      <c r="F5" t="s">
        <v>8</v>
      </c>
      <c r="K5" s="1">
        <v>1209</v>
      </c>
      <c r="L5" s="1">
        <v>1311</v>
      </c>
      <c r="M5" s="1">
        <v>1113</v>
      </c>
      <c r="N5" s="1">
        <v>1214</v>
      </c>
      <c r="O5" s="1">
        <v>1415</v>
      </c>
      <c r="P5" s="1" t="s">
        <v>202</v>
      </c>
      <c r="Q5" s="1" t="s">
        <v>209</v>
      </c>
      <c r="R5" s="1" t="s">
        <v>224</v>
      </c>
      <c r="S5" s="1" t="s">
        <v>236</v>
      </c>
      <c r="T5" s="1" t="s">
        <v>249</v>
      </c>
      <c r="U5" s="1" t="s">
        <v>224</v>
      </c>
      <c r="V5" s="1" t="s">
        <v>224</v>
      </c>
      <c r="W5" s="1" t="s">
        <v>270</v>
      </c>
      <c r="X5" s="1" t="s">
        <v>224</v>
      </c>
      <c r="Y5" s="1" t="s">
        <v>224</v>
      </c>
      <c r="Z5" s="1" t="s">
        <v>270</v>
      </c>
      <c r="AA5" s="1" t="s">
        <v>270</v>
      </c>
      <c r="AB5" s="1" t="s">
        <v>336</v>
      </c>
      <c r="AC5" s="4" t="s">
        <v>355</v>
      </c>
      <c r="AD5" s="1" t="s">
        <v>364</v>
      </c>
      <c r="AE5" s="1" t="s">
        <v>224</v>
      </c>
      <c r="AF5" s="1" t="s">
        <v>270</v>
      </c>
      <c r="AG5" s="1" t="s">
        <v>398</v>
      </c>
      <c r="AH5" s="1" t="s">
        <v>414</v>
      </c>
      <c r="AI5" s="1" t="s">
        <v>430</v>
      </c>
      <c r="AJ5" s="1" t="s">
        <v>430</v>
      </c>
      <c r="AK5" s="1" t="s">
        <v>452</v>
      </c>
      <c r="AL5" s="1" t="s">
        <v>236</v>
      </c>
      <c r="AM5" s="1" t="s">
        <v>270</v>
      </c>
      <c r="AN5" s="1" t="s">
        <v>485</v>
      </c>
      <c r="AO5" s="1" t="s">
        <v>493</v>
      </c>
      <c r="AP5" s="1" t="s">
        <v>398</v>
      </c>
      <c r="AQ5" s="1" t="s">
        <v>516</v>
      </c>
      <c r="AR5" s="1" t="s">
        <v>452</v>
      </c>
      <c r="AS5" s="1" t="s">
        <v>485</v>
      </c>
      <c r="AT5" s="1" t="s">
        <v>270</v>
      </c>
      <c r="AU5" s="1" t="s">
        <v>560</v>
      </c>
      <c r="AV5" s="1" t="s">
        <v>452</v>
      </c>
      <c r="AW5" s="1" t="s">
        <v>516</v>
      </c>
      <c r="AX5" s="1" t="s">
        <v>493</v>
      </c>
      <c r="AY5" s="1" t="s">
        <v>336</v>
      </c>
      <c r="AZ5">
        <v>1413</v>
      </c>
      <c r="BA5">
        <v>1415</v>
      </c>
      <c r="BB5">
        <v>1414</v>
      </c>
      <c r="BC5">
        <v>1414</v>
      </c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</row>
    <row r="6" spans="1:104" x14ac:dyDescent="0.2">
      <c r="A6"/>
      <c r="B6" s="1" t="s">
        <v>12</v>
      </c>
      <c r="C6" s="43" t="s">
        <v>165</v>
      </c>
      <c r="D6" s="8" t="s">
        <v>166</v>
      </c>
      <c r="E6" s="8" t="s">
        <v>9</v>
      </c>
      <c r="F6" t="s">
        <v>8</v>
      </c>
      <c r="M6" s="1">
        <v>2810</v>
      </c>
      <c r="N6" s="1">
        <v>2809</v>
      </c>
      <c r="O6" s="1">
        <v>2810</v>
      </c>
      <c r="P6" s="1" t="s">
        <v>201</v>
      </c>
      <c r="Q6" s="1" t="s">
        <v>210</v>
      </c>
      <c r="R6" s="1" t="s">
        <v>225</v>
      </c>
      <c r="S6" s="1" t="s">
        <v>237</v>
      </c>
      <c r="T6" s="1" t="s">
        <v>210</v>
      </c>
      <c r="U6" s="1" t="s">
        <v>263</v>
      </c>
      <c r="V6" s="1" t="s">
        <v>265</v>
      </c>
      <c r="W6" s="1" t="s">
        <v>225</v>
      </c>
      <c r="X6" s="1" t="s">
        <v>286</v>
      </c>
      <c r="Y6" s="1" t="s">
        <v>296</v>
      </c>
      <c r="Z6" s="1" t="s">
        <v>237</v>
      </c>
      <c r="AA6" s="1" t="s">
        <v>237</v>
      </c>
      <c r="AB6" s="1" t="s">
        <v>286</v>
      </c>
      <c r="AC6" s="4" t="s">
        <v>237</v>
      </c>
      <c r="AD6" s="1" t="s">
        <v>366</v>
      </c>
      <c r="AE6" s="1" t="s">
        <v>313</v>
      </c>
      <c r="AF6" s="1" t="s">
        <v>265</v>
      </c>
      <c r="AG6" s="1" t="s">
        <v>286</v>
      </c>
      <c r="AH6" s="1" t="s">
        <v>265</v>
      </c>
      <c r="AI6" s="1" t="s">
        <v>296</v>
      </c>
      <c r="AJ6" s="1" t="s">
        <v>390</v>
      </c>
      <c r="AK6" s="1" t="s">
        <v>265</v>
      </c>
      <c r="AL6" s="1" t="s">
        <v>265</v>
      </c>
      <c r="AM6" s="1" t="s">
        <v>265</v>
      </c>
      <c r="AN6" s="1" t="s">
        <v>478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</row>
    <row r="7" spans="1:104" x14ac:dyDescent="0.2">
      <c r="A7"/>
      <c r="B7" s="1"/>
      <c r="C7" s="43" t="s">
        <v>167</v>
      </c>
      <c r="D7" s="8" t="s">
        <v>247</v>
      </c>
      <c r="E7" s="4" t="s">
        <v>169</v>
      </c>
      <c r="F7" s="8" t="s">
        <v>8</v>
      </c>
      <c r="N7" s="1">
        <v>1408</v>
      </c>
      <c r="O7" s="4" t="s">
        <v>190</v>
      </c>
      <c r="P7" s="1" t="s">
        <v>203</v>
      </c>
      <c r="Q7" s="1" t="s">
        <v>211</v>
      </c>
      <c r="R7" s="1" t="s">
        <v>226</v>
      </c>
      <c r="S7" s="1" t="s">
        <v>238</v>
      </c>
      <c r="T7" s="1" t="s">
        <v>250</v>
      </c>
      <c r="U7" s="1" t="s">
        <v>262</v>
      </c>
      <c r="V7" s="1" t="s">
        <v>266</v>
      </c>
      <c r="W7" s="1" t="s">
        <v>250</v>
      </c>
      <c r="X7" s="1" t="s">
        <v>250</v>
      </c>
      <c r="Y7" s="1" t="s">
        <v>300</v>
      </c>
      <c r="Z7" s="1" t="s">
        <v>266</v>
      </c>
      <c r="AB7" s="1" t="s">
        <v>238</v>
      </c>
      <c r="AC7" s="4" t="s">
        <v>360</v>
      </c>
      <c r="AD7" s="1" t="s">
        <v>250</v>
      </c>
      <c r="AE7" s="1" t="s">
        <v>365</v>
      </c>
      <c r="AF7" s="1" t="s">
        <v>190</v>
      </c>
      <c r="AG7" s="1" t="s">
        <v>399</v>
      </c>
      <c r="AH7" s="1" t="s">
        <v>415</v>
      </c>
      <c r="AI7" s="1" t="s">
        <v>250</v>
      </c>
      <c r="AJ7" s="1" t="s">
        <v>436</v>
      </c>
      <c r="AK7" s="1" t="s">
        <v>226</v>
      </c>
      <c r="AL7" s="1" t="s">
        <v>238</v>
      </c>
      <c r="AM7" s="1" t="s">
        <v>262</v>
      </c>
      <c r="AN7" s="1" t="s">
        <v>487</v>
      </c>
      <c r="AO7" s="1" t="s">
        <v>262</v>
      </c>
      <c r="AP7" s="1" t="s">
        <v>506</v>
      </c>
      <c r="AQ7" s="1" t="s">
        <v>299</v>
      </c>
      <c r="AR7" s="1" t="s">
        <v>262</v>
      </c>
      <c r="AS7" s="1" t="s">
        <v>538</v>
      </c>
      <c r="AT7" s="1" t="s">
        <v>550</v>
      </c>
      <c r="AU7" s="1" t="s">
        <v>399</v>
      </c>
      <c r="AV7" s="1" t="s">
        <v>254</v>
      </c>
      <c r="AW7" s="1" t="s">
        <v>577</v>
      </c>
      <c r="AX7" s="1" t="s">
        <v>399</v>
      </c>
      <c r="AY7" s="1" t="s">
        <v>538</v>
      </c>
      <c r="AZ7">
        <v>1011</v>
      </c>
      <c r="BA7">
        <v>1012</v>
      </c>
      <c r="BB7">
        <v>1210</v>
      </c>
      <c r="BC7">
        <v>1212</v>
      </c>
      <c r="BD7">
        <v>1411</v>
      </c>
      <c r="BE7">
        <v>1311</v>
      </c>
      <c r="BF7">
        <v>1411</v>
      </c>
      <c r="BG7"/>
      <c r="BH7" t="s">
        <v>351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</row>
    <row r="8" spans="1:104" x14ac:dyDescent="0.2">
      <c r="A8"/>
      <c r="B8" s="1" t="s">
        <v>114</v>
      </c>
      <c r="C8" s="43" t="s">
        <v>171</v>
      </c>
      <c r="D8" s="8" t="s">
        <v>179</v>
      </c>
      <c r="E8" s="8" t="s">
        <v>180</v>
      </c>
      <c r="F8" s="8" t="s">
        <v>8</v>
      </c>
      <c r="O8" s="1">
        <v>3108</v>
      </c>
      <c r="P8" s="1" t="s">
        <v>198</v>
      </c>
      <c r="Q8" s="1" t="s">
        <v>212</v>
      </c>
      <c r="R8" s="1" t="s">
        <v>212</v>
      </c>
      <c r="S8" s="1" t="s">
        <v>212</v>
      </c>
      <c r="T8" s="1" t="s">
        <v>212</v>
      </c>
      <c r="U8" s="1" t="s">
        <v>212</v>
      </c>
      <c r="V8" s="1" t="s">
        <v>212</v>
      </c>
      <c r="W8" s="1" t="s">
        <v>198</v>
      </c>
      <c r="X8" s="1" t="s">
        <v>198</v>
      </c>
      <c r="Y8" s="1" t="s">
        <v>294</v>
      </c>
      <c r="Z8" s="1" t="s">
        <v>198</v>
      </c>
      <c r="AA8" s="1" t="s">
        <v>312</v>
      </c>
      <c r="AB8" s="1" t="s">
        <v>337</v>
      </c>
      <c r="AC8" s="4" t="s">
        <v>198</v>
      </c>
      <c r="AD8" s="1" t="s">
        <v>198</v>
      </c>
      <c r="AE8" s="1" t="s">
        <v>198</v>
      </c>
      <c r="AF8" s="1" t="s">
        <v>198</v>
      </c>
      <c r="AG8" s="1" t="s">
        <v>400</v>
      </c>
      <c r="AH8" s="1" t="s">
        <v>416</v>
      </c>
      <c r="AI8" s="1" t="s">
        <v>198</v>
      </c>
      <c r="AJ8" s="1" t="s">
        <v>198</v>
      </c>
      <c r="AK8" s="1" t="s">
        <v>337</v>
      </c>
      <c r="AL8" s="1" t="s">
        <v>198</v>
      </c>
      <c r="AM8" s="1" t="s">
        <v>394</v>
      </c>
      <c r="AN8" s="1" t="s">
        <v>394</v>
      </c>
      <c r="AO8" s="1" t="s">
        <v>394</v>
      </c>
      <c r="AP8" s="1" t="s">
        <v>501</v>
      </c>
      <c r="AQ8" s="1" t="s">
        <v>509</v>
      </c>
      <c r="AR8" s="1" t="s">
        <v>198</v>
      </c>
      <c r="AS8" s="1" t="s">
        <v>501</v>
      </c>
      <c r="AT8" s="1" t="s">
        <v>501</v>
      </c>
      <c r="AU8" s="1" t="s">
        <v>394</v>
      </c>
      <c r="AV8" s="1" t="s">
        <v>212</v>
      </c>
      <c r="AW8" s="1" t="s">
        <v>501</v>
      </c>
      <c r="AX8" s="1" t="s">
        <v>583</v>
      </c>
      <c r="AY8" s="1" t="s">
        <v>583</v>
      </c>
      <c r="AZ8">
        <v>3106</v>
      </c>
      <c r="BA8">
        <v>3106</v>
      </c>
      <c r="BB8">
        <v>3006</v>
      </c>
      <c r="BC8">
        <v>3006</v>
      </c>
      <c r="BD8">
        <v>3106</v>
      </c>
      <c r="BE8">
        <v>3106</v>
      </c>
      <c r="BF8">
        <v>3006</v>
      </c>
      <c r="BG8">
        <v>3006</v>
      </c>
      <c r="BH8">
        <v>3106</v>
      </c>
      <c r="BI8">
        <v>3106</v>
      </c>
      <c r="BJ8">
        <v>3006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</row>
    <row r="9" spans="1:104" x14ac:dyDescent="0.2">
      <c r="A9"/>
      <c r="B9" s="1"/>
      <c r="C9" s="43" t="s">
        <v>172</v>
      </c>
      <c r="D9" s="8" t="s">
        <v>181</v>
      </c>
      <c r="E9" s="4" t="s">
        <v>169</v>
      </c>
      <c r="F9" s="8" t="s">
        <v>8</v>
      </c>
      <c r="O9" s="1">
        <v>3210</v>
      </c>
      <c r="P9" s="1" t="s">
        <v>199</v>
      </c>
      <c r="Q9" s="1" t="s">
        <v>199</v>
      </c>
      <c r="R9" s="1" t="s">
        <v>227</v>
      </c>
      <c r="S9" s="1" t="s">
        <v>199</v>
      </c>
      <c r="T9" s="1" t="s">
        <v>251</v>
      </c>
      <c r="U9" s="1" t="s">
        <v>199</v>
      </c>
      <c r="V9" s="1" t="s">
        <v>199</v>
      </c>
      <c r="W9" s="1" t="s">
        <v>199</v>
      </c>
      <c r="X9" s="1" t="s">
        <v>285</v>
      </c>
      <c r="Y9" s="1" t="s">
        <v>295</v>
      </c>
      <c r="Z9" s="1" t="s">
        <v>304</v>
      </c>
      <c r="AA9" s="1" t="s">
        <v>227</v>
      </c>
      <c r="AB9" s="1" t="s">
        <v>338</v>
      </c>
      <c r="AC9" s="4" t="s">
        <v>285</v>
      </c>
      <c r="AD9" s="1" t="s">
        <v>367</v>
      </c>
      <c r="AE9" s="1" t="s">
        <v>385</v>
      </c>
      <c r="AF9" s="1" t="s">
        <v>397</v>
      </c>
      <c r="AG9" s="1" t="s">
        <v>385</v>
      </c>
      <c r="AH9" s="1" t="s">
        <v>385</v>
      </c>
      <c r="AI9" s="1" t="s">
        <v>338</v>
      </c>
      <c r="AJ9" s="1" t="s">
        <v>338</v>
      </c>
      <c r="AM9" s="1" t="s">
        <v>475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</row>
    <row r="10" spans="1:104" x14ac:dyDescent="0.2">
      <c r="A10" s="8" t="s">
        <v>182</v>
      </c>
      <c r="B10" s="1"/>
      <c r="C10" s="43" t="s">
        <v>173</v>
      </c>
      <c r="D10" s="8" t="s">
        <v>183</v>
      </c>
      <c r="E10" s="4" t="s">
        <v>169</v>
      </c>
      <c r="F10" s="8" t="s">
        <v>8</v>
      </c>
      <c r="O10" s="1">
        <v>2216</v>
      </c>
      <c r="P10" s="1" t="s">
        <v>200</v>
      </c>
      <c r="Q10" s="1" t="s">
        <v>213</v>
      </c>
      <c r="R10" s="1" t="s">
        <v>229</v>
      </c>
      <c r="S10" s="1" t="s">
        <v>239</v>
      </c>
      <c r="T10" s="1" t="s">
        <v>239</v>
      </c>
      <c r="U10" s="1" t="s">
        <v>239</v>
      </c>
      <c r="V10" s="1" t="s">
        <v>267</v>
      </c>
      <c r="W10" s="1" t="s">
        <v>271</v>
      </c>
      <c r="X10" s="1" t="s">
        <v>287</v>
      </c>
      <c r="Y10" s="1" t="s">
        <v>297</v>
      </c>
      <c r="Z10" s="1" t="s">
        <v>305</v>
      </c>
      <c r="AA10" s="1" t="s">
        <v>313</v>
      </c>
      <c r="AB10" s="1" t="s">
        <v>339</v>
      </c>
      <c r="AC10" s="4" t="s">
        <v>208</v>
      </c>
      <c r="AD10" s="1" t="s">
        <v>368</v>
      </c>
      <c r="AE10" s="1" t="s">
        <v>305</v>
      </c>
      <c r="AF10" s="1" t="s">
        <v>313</v>
      </c>
      <c r="AG10" s="1" t="s">
        <v>401</v>
      </c>
      <c r="AH10" s="1" t="s">
        <v>271</v>
      </c>
      <c r="AI10" s="1" t="s">
        <v>271</v>
      </c>
      <c r="AJ10" s="1" t="s">
        <v>435</v>
      </c>
      <c r="AK10" s="1" t="s">
        <v>445</v>
      </c>
      <c r="AL10" s="1" t="s">
        <v>313</v>
      </c>
      <c r="AM10" s="1" t="s">
        <v>200</v>
      </c>
      <c r="AN10" s="1" t="s">
        <v>213</v>
      </c>
      <c r="AO10" s="1" t="s">
        <v>200</v>
      </c>
      <c r="AP10" s="1" t="s">
        <v>213</v>
      </c>
      <c r="AQ10" s="1" t="s">
        <v>518</v>
      </c>
      <c r="AR10" s="1" t="s">
        <v>200</v>
      </c>
      <c r="AS10" s="1" t="s">
        <v>213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</row>
    <row r="11" spans="1:104" x14ac:dyDescent="0.2">
      <c r="A11"/>
      <c r="B11" s="4" t="s">
        <v>184</v>
      </c>
      <c r="C11" s="43" t="s">
        <v>174</v>
      </c>
      <c r="D11" s="8" t="s">
        <v>185</v>
      </c>
      <c r="E11" s="4" t="s">
        <v>15</v>
      </c>
      <c r="F11" s="8" t="s">
        <v>8</v>
      </c>
      <c r="O11" s="4" t="s">
        <v>188</v>
      </c>
      <c r="P11" s="1" t="s">
        <v>205</v>
      </c>
      <c r="Q11" s="1" t="s">
        <v>214</v>
      </c>
      <c r="R11" s="1" t="s">
        <v>228</v>
      </c>
      <c r="S11" s="1" t="s">
        <v>240</v>
      </c>
      <c r="T11" s="1" t="s">
        <v>252</v>
      </c>
      <c r="U11" s="1" t="s">
        <v>261</v>
      </c>
      <c r="V11" s="1" t="s">
        <v>240</v>
      </c>
      <c r="W11" s="1" t="s">
        <v>272</v>
      </c>
      <c r="X11" s="1" t="s">
        <v>272</v>
      </c>
      <c r="Y11" s="1" t="s">
        <v>272</v>
      </c>
      <c r="Z11" s="1" t="s">
        <v>272</v>
      </c>
      <c r="AA11" s="1" t="s">
        <v>314</v>
      </c>
      <c r="AB11" s="1" t="s">
        <v>272</v>
      </c>
      <c r="AC11" s="4" t="s">
        <v>358</v>
      </c>
      <c r="AD11" s="1" t="s">
        <v>369</v>
      </c>
      <c r="AE11" s="1" t="s">
        <v>369</v>
      </c>
      <c r="AF11" s="1" t="s">
        <v>272</v>
      </c>
      <c r="AG11" s="1" t="s">
        <v>358</v>
      </c>
      <c r="AH11" s="1" t="s">
        <v>358</v>
      </c>
      <c r="AI11" s="1" t="s">
        <v>369</v>
      </c>
      <c r="AJ11" s="1" t="s">
        <v>272</v>
      </c>
      <c r="AK11" s="1" t="s">
        <v>358</v>
      </c>
      <c r="AL11" s="1" t="s">
        <v>369</v>
      </c>
      <c r="AM11" s="1" t="s">
        <v>358</v>
      </c>
      <c r="AN11" s="1" t="s">
        <v>369</v>
      </c>
      <c r="AO11" s="1" t="s">
        <v>497</v>
      </c>
      <c r="AP11" s="1" t="s">
        <v>214</v>
      </c>
      <c r="AQ11" s="1" t="s">
        <v>519</v>
      </c>
      <c r="AR11" s="1" t="s">
        <v>533</v>
      </c>
      <c r="AS11" s="1" t="s">
        <v>519</v>
      </c>
      <c r="AT11" s="1" t="s">
        <v>519</v>
      </c>
      <c r="AU11" s="1" t="s">
        <v>519</v>
      </c>
      <c r="AV11" s="1" t="s">
        <v>519</v>
      </c>
      <c r="AW11" s="1" t="s">
        <v>579</v>
      </c>
      <c r="AX11" s="1" t="s">
        <v>588</v>
      </c>
      <c r="AY11" s="1" t="s">
        <v>596</v>
      </c>
      <c r="AZ11">
        <v>-213</v>
      </c>
      <c r="BA11">
        <v>-214</v>
      </c>
      <c r="BB11">
        <v>-215</v>
      </c>
      <c r="BC11">
        <v>-115</v>
      </c>
      <c r="BD11">
        <v>-214</v>
      </c>
      <c r="BE11">
        <v>-215</v>
      </c>
      <c r="BF11">
        <v>-215</v>
      </c>
      <c r="BG11">
        <v>-215</v>
      </c>
      <c r="BH11">
        <v>-215</v>
      </c>
      <c r="BI11">
        <v>-215</v>
      </c>
      <c r="BJ11">
        <v>-810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</row>
    <row r="12" spans="1:104" x14ac:dyDescent="0.2">
      <c r="A12"/>
      <c r="B12" s="4" t="s">
        <v>186</v>
      </c>
      <c r="C12" s="43" t="s">
        <v>175</v>
      </c>
      <c r="D12" s="8" t="s">
        <v>187</v>
      </c>
      <c r="E12" s="4" t="s">
        <v>9</v>
      </c>
      <c r="F12" s="8" t="s">
        <v>8</v>
      </c>
      <c r="O12" s="4" t="s">
        <v>189</v>
      </c>
      <c r="P12" s="1" t="s">
        <v>207</v>
      </c>
      <c r="Q12" s="1" t="s">
        <v>215</v>
      </c>
      <c r="R12" s="1" t="s">
        <v>170</v>
      </c>
      <c r="V12" s="1" t="s">
        <v>268</v>
      </c>
      <c r="AI12" s="1" t="s">
        <v>431</v>
      </c>
      <c r="AN12" s="1" t="s">
        <v>357</v>
      </c>
      <c r="AO12" s="1" t="s">
        <v>357</v>
      </c>
      <c r="AQ12" s="1" t="s">
        <v>341</v>
      </c>
      <c r="AR12" s="1" t="s">
        <v>386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</row>
    <row r="13" spans="1:104" x14ac:dyDescent="0.2">
      <c r="A13"/>
      <c r="B13" s="1"/>
      <c r="C13" s="43" t="s">
        <v>176</v>
      </c>
      <c r="D13" s="8" t="s">
        <v>192</v>
      </c>
      <c r="E13" s="4" t="s">
        <v>169</v>
      </c>
      <c r="F13" s="8" t="s">
        <v>8</v>
      </c>
      <c r="O13" s="4" t="s">
        <v>191</v>
      </c>
      <c r="P13" s="1" t="s">
        <v>191</v>
      </c>
      <c r="Q13" s="1" t="s">
        <v>191</v>
      </c>
      <c r="R13" s="1" t="s">
        <v>191</v>
      </c>
      <c r="S13" s="1" t="s">
        <v>191</v>
      </c>
      <c r="T13" s="1" t="s">
        <v>191</v>
      </c>
      <c r="U13" s="1" t="s">
        <v>191</v>
      </c>
      <c r="V13" s="1" t="s">
        <v>191</v>
      </c>
      <c r="W13" s="1" t="s">
        <v>191</v>
      </c>
      <c r="X13" s="1" t="s">
        <v>191</v>
      </c>
      <c r="Y13" s="1" t="s">
        <v>191</v>
      </c>
      <c r="Z13" s="1" t="s">
        <v>306</v>
      </c>
      <c r="AA13" s="1" t="s">
        <v>315</v>
      </c>
      <c r="AB13" s="1" t="s">
        <v>340</v>
      </c>
      <c r="AC13" s="4" t="s">
        <v>356</v>
      </c>
      <c r="AD13" s="1" t="s">
        <v>370</v>
      </c>
      <c r="AE13" s="1" t="s">
        <v>386</v>
      </c>
      <c r="AF13" s="1" t="s">
        <v>317</v>
      </c>
      <c r="AG13" s="1" t="s">
        <v>341</v>
      </c>
      <c r="AH13" s="1" t="s">
        <v>357</v>
      </c>
      <c r="AI13" s="1" t="s">
        <v>306</v>
      </c>
      <c r="AL13" s="1" t="s">
        <v>458</v>
      </c>
      <c r="AM13" s="1" t="s">
        <v>217</v>
      </c>
      <c r="AN13" s="1" t="s">
        <v>253</v>
      </c>
      <c r="AO13" s="1" t="s">
        <v>320</v>
      </c>
      <c r="AP13" s="1" t="s">
        <v>260</v>
      </c>
      <c r="AQ13" s="1" t="s">
        <v>356</v>
      </c>
      <c r="AR13" s="1" t="s">
        <v>508</v>
      </c>
      <c r="AS13" s="1" t="s">
        <v>415</v>
      </c>
      <c r="AT13" s="1" t="s">
        <v>552</v>
      </c>
      <c r="AU13" s="1" t="s">
        <v>561</v>
      </c>
      <c r="AV13" s="1" t="s">
        <v>415</v>
      </c>
      <c r="AW13" s="1" t="s">
        <v>561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</row>
    <row r="14" spans="1:104" x14ac:dyDescent="0.2">
      <c r="A14"/>
      <c r="B14" s="1"/>
      <c r="C14" s="43" t="s">
        <v>177</v>
      </c>
      <c r="D14" s="8" t="s">
        <v>194</v>
      </c>
      <c r="E14" s="4" t="s">
        <v>169</v>
      </c>
      <c r="F14" s="8" t="s">
        <v>8</v>
      </c>
      <c r="O14" s="4" t="s">
        <v>193</v>
      </c>
      <c r="P14" s="1" t="s">
        <v>206</v>
      </c>
      <c r="Q14" s="1" t="s">
        <v>216</v>
      </c>
      <c r="R14" s="1" t="s">
        <v>216</v>
      </c>
      <c r="S14" s="1" t="s">
        <v>206</v>
      </c>
      <c r="T14" s="1" t="s">
        <v>206</v>
      </c>
      <c r="U14" s="1" t="s">
        <v>193</v>
      </c>
      <c r="V14" s="1" t="s">
        <v>206</v>
      </c>
      <c r="W14" s="1" t="s">
        <v>273</v>
      </c>
      <c r="X14" s="1" t="s">
        <v>289</v>
      </c>
      <c r="Y14" s="1" t="s">
        <v>301</v>
      </c>
      <c r="Z14" s="1" t="s">
        <v>307</v>
      </c>
      <c r="AA14" s="1" t="s">
        <v>316</v>
      </c>
      <c r="AB14" s="1" t="s">
        <v>307</v>
      </c>
      <c r="AC14" s="4" t="s">
        <v>206</v>
      </c>
      <c r="AD14" s="1" t="s">
        <v>206</v>
      </c>
      <c r="AE14" s="1" t="s">
        <v>316</v>
      </c>
      <c r="AF14" s="1" t="s">
        <v>316</v>
      </c>
      <c r="AG14" s="1" t="s">
        <v>301</v>
      </c>
      <c r="AH14" s="1" t="s">
        <v>206</v>
      </c>
      <c r="AI14" s="1" t="s">
        <v>206</v>
      </c>
      <c r="AJ14" s="1" t="s">
        <v>316</v>
      </c>
      <c r="AK14" s="1" t="s">
        <v>450</v>
      </c>
      <c r="AL14" s="1" t="s">
        <v>206</v>
      </c>
      <c r="AM14" s="1" t="s">
        <v>316</v>
      </c>
      <c r="AN14" s="1" t="s">
        <v>206</v>
      </c>
      <c r="AO14" s="1" t="s">
        <v>498</v>
      </c>
      <c r="AP14" s="1" t="s">
        <v>507</v>
      </c>
      <c r="AQ14" s="1" t="s">
        <v>520</v>
      </c>
      <c r="AR14" s="1" t="s">
        <v>216</v>
      </c>
      <c r="AS14" s="1" t="s">
        <v>316</v>
      </c>
      <c r="AT14" s="1" t="s">
        <v>193</v>
      </c>
      <c r="AU14" s="1" t="s">
        <v>498</v>
      </c>
      <c r="AV14" s="1" t="s">
        <v>206</v>
      </c>
      <c r="AW14" s="1" t="s">
        <v>580</v>
      </c>
      <c r="AX14" s="1" t="s">
        <v>498</v>
      </c>
      <c r="AY14" s="1" t="s">
        <v>498</v>
      </c>
      <c r="AZ14">
        <v>215</v>
      </c>
      <c r="BA14"/>
      <c r="BB14">
        <v>318</v>
      </c>
      <c r="BC14">
        <v>216</v>
      </c>
      <c r="BD14">
        <v>14</v>
      </c>
      <c r="BE14">
        <v>116</v>
      </c>
      <c r="BF14">
        <v>114</v>
      </c>
      <c r="BG14">
        <v>114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</row>
    <row r="15" spans="1:104" x14ac:dyDescent="0.2">
      <c r="A15"/>
      <c r="B15" s="1"/>
      <c r="C15" s="43" t="s">
        <v>178</v>
      </c>
      <c r="D15" s="8" t="s">
        <v>196</v>
      </c>
      <c r="E15" s="4" t="s">
        <v>169</v>
      </c>
      <c r="F15" s="8" t="s">
        <v>8</v>
      </c>
      <c r="O15" s="4" t="s">
        <v>195</v>
      </c>
      <c r="P15" s="1" t="s">
        <v>204</v>
      </c>
      <c r="Q15" s="1" t="s">
        <v>217</v>
      </c>
      <c r="R15" s="1" t="s">
        <v>217</v>
      </c>
      <c r="S15" s="1" t="s">
        <v>241</v>
      </c>
      <c r="T15" s="1" t="s">
        <v>253</v>
      </c>
      <c r="U15" s="1" t="s">
        <v>260</v>
      </c>
      <c r="V15" s="1" t="s">
        <v>204</v>
      </c>
      <c r="W15" s="1" t="s">
        <v>253</v>
      </c>
      <c r="X15" s="1" t="s">
        <v>253</v>
      </c>
      <c r="Z15" s="1" t="s">
        <v>308</v>
      </c>
      <c r="AA15" s="1" t="s">
        <v>317</v>
      </c>
      <c r="AB15" s="1" t="s">
        <v>341</v>
      </c>
      <c r="AC15" s="4" t="s">
        <v>357</v>
      </c>
      <c r="AD15" s="1" t="s">
        <v>365</v>
      </c>
      <c r="AE15" s="1" t="s">
        <v>387</v>
      </c>
      <c r="AF15" s="1" t="s">
        <v>308</v>
      </c>
      <c r="AG15" s="1" t="s">
        <v>379</v>
      </c>
      <c r="AH15" s="1" t="s">
        <v>308</v>
      </c>
      <c r="AI15" s="1" t="s">
        <v>425</v>
      </c>
      <c r="AJ15" s="1" t="s">
        <v>379</v>
      </c>
      <c r="AK15" s="1" t="s">
        <v>387</v>
      </c>
      <c r="AL15" s="1" t="s">
        <v>453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</row>
    <row r="16" spans="1:104" x14ac:dyDescent="0.2">
      <c r="A16"/>
      <c r="B16" s="1" t="s">
        <v>220</v>
      </c>
      <c r="C16" s="43" t="s">
        <v>218</v>
      </c>
      <c r="D16" s="8" t="s">
        <v>352</v>
      </c>
      <c r="E16" s="4" t="s">
        <v>169</v>
      </c>
      <c r="F16" s="8" t="s">
        <v>8</v>
      </c>
      <c r="Q16" s="1" t="s">
        <v>221</v>
      </c>
      <c r="R16" s="1" t="s">
        <v>230</v>
      </c>
      <c r="S16" s="1" t="s">
        <v>230</v>
      </c>
      <c r="T16" s="1" t="s">
        <v>230</v>
      </c>
      <c r="U16" s="1" t="s">
        <v>259</v>
      </c>
      <c r="V16" s="1" t="s">
        <v>230</v>
      </c>
      <c r="W16" s="1" t="s">
        <v>274</v>
      </c>
      <c r="X16" s="1" t="s">
        <v>230</v>
      </c>
      <c r="Y16" s="1" t="s">
        <v>298</v>
      </c>
      <c r="Z16" s="1" t="s">
        <v>170</v>
      </c>
      <c r="AA16" s="1" t="s">
        <v>318</v>
      </c>
      <c r="AB16" s="1" t="s">
        <v>230</v>
      </c>
      <c r="AC16" s="4" t="s">
        <v>230</v>
      </c>
      <c r="AD16" s="1" t="s">
        <v>371</v>
      </c>
      <c r="AE16" s="1" t="s">
        <v>221</v>
      </c>
      <c r="AF16" s="1" t="s">
        <v>230</v>
      </c>
      <c r="AG16" s="1" t="s">
        <v>402</v>
      </c>
      <c r="AH16" s="1" t="s">
        <v>417</v>
      </c>
      <c r="AI16" s="1" t="s">
        <v>297</v>
      </c>
      <c r="AJ16" s="1" t="s">
        <v>221</v>
      </c>
      <c r="AK16" s="1" t="s">
        <v>446</v>
      </c>
      <c r="AL16" s="1" t="s">
        <v>230</v>
      </c>
      <c r="AM16" s="1" t="s">
        <v>297</v>
      </c>
      <c r="AN16" s="1" t="s">
        <v>229</v>
      </c>
      <c r="AO16" s="1" t="s">
        <v>229</v>
      </c>
      <c r="AP16" s="1" t="s">
        <v>502</v>
      </c>
      <c r="AQ16" s="1" t="s">
        <v>221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</row>
    <row r="17" spans="1:77" x14ac:dyDescent="0.2">
      <c r="A17"/>
      <c r="B17" s="1" t="s">
        <v>14</v>
      </c>
      <c r="C17" s="43" t="s">
        <v>219</v>
      </c>
      <c r="D17" s="8" t="s">
        <v>484</v>
      </c>
      <c r="E17" s="4" t="s">
        <v>10</v>
      </c>
      <c r="F17" s="8" t="s">
        <v>8</v>
      </c>
      <c r="Q17" s="1" t="s">
        <v>222</v>
      </c>
      <c r="R17" s="1" t="s">
        <v>231</v>
      </c>
      <c r="S17" s="1" t="s">
        <v>231</v>
      </c>
      <c r="T17" s="1" t="s">
        <v>254</v>
      </c>
      <c r="U17" s="1" t="s">
        <v>231</v>
      </c>
      <c r="V17" s="1" t="s">
        <v>231</v>
      </c>
      <c r="W17" s="1" t="s">
        <v>231</v>
      </c>
      <c r="X17" s="1" t="s">
        <v>231</v>
      </c>
      <c r="Y17" s="1" t="s">
        <v>299</v>
      </c>
      <c r="Z17" s="1" t="s">
        <v>309</v>
      </c>
      <c r="AA17" s="1" t="s">
        <v>319</v>
      </c>
      <c r="AB17" s="1" t="s">
        <v>342</v>
      </c>
      <c r="AC17" s="4" t="s">
        <v>354</v>
      </c>
      <c r="AD17" s="1" t="s">
        <v>202</v>
      </c>
      <c r="AE17" s="1" t="s">
        <v>202</v>
      </c>
      <c r="AF17" s="1" t="s">
        <v>231</v>
      </c>
      <c r="AG17" s="1" t="s">
        <v>222</v>
      </c>
      <c r="AH17" s="1" t="s">
        <v>319</v>
      </c>
      <c r="AI17" s="1" t="s">
        <v>309</v>
      </c>
      <c r="AJ17" s="1" t="s">
        <v>222</v>
      </c>
      <c r="AK17" s="1" t="s">
        <v>447</v>
      </c>
      <c r="AL17" s="1" t="s">
        <v>447</v>
      </c>
      <c r="AM17" s="1" t="s">
        <v>467</v>
      </c>
      <c r="AN17" s="1" t="s">
        <v>483</v>
      </c>
      <c r="AO17" s="1" t="s">
        <v>447</v>
      </c>
      <c r="AP17" s="1" t="s">
        <v>505</v>
      </c>
      <c r="AQ17" s="1" t="s">
        <v>447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</row>
    <row r="18" spans="1:77" x14ac:dyDescent="0.2">
      <c r="A18"/>
      <c r="B18" s="1"/>
      <c r="C18" s="43" t="s">
        <v>232</v>
      </c>
      <c r="D18" s="8" t="s">
        <v>234</v>
      </c>
      <c r="E18" s="4" t="s">
        <v>169</v>
      </c>
      <c r="F18" s="8" t="s">
        <v>8</v>
      </c>
      <c r="R18" s="1" t="s">
        <v>233</v>
      </c>
      <c r="S18" s="1" t="s">
        <v>242</v>
      </c>
      <c r="T18" s="1" t="s">
        <v>242</v>
      </c>
      <c r="U18" s="1" t="s">
        <v>258</v>
      </c>
      <c r="V18" s="1" t="s">
        <v>258</v>
      </c>
      <c r="W18" s="1" t="s">
        <v>258</v>
      </c>
      <c r="X18" s="1" t="s">
        <v>288</v>
      </c>
      <c r="Y18" s="1" t="s">
        <v>258</v>
      </c>
      <c r="Z18" s="1" t="s">
        <v>258</v>
      </c>
      <c r="AA18" s="1" t="s">
        <v>258</v>
      </c>
      <c r="AB18" s="1" t="s">
        <v>288</v>
      </c>
      <c r="AC18" s="4" t="s">
        <v>258</v>
      </c>
      <c r="AD18" s="1" t="s">
        <v>258</v>
      </c>
      <c r="AE18" s="1" t="s">
        <v>242</v>
      </c>
      <c r="AF18" s="1" t="s">
        <v>288</v>
      </c>
      <c r="AG18" s="1" t="s">
        <v>410</v>
      </c>
      <c r="AH18" s="1" t="s">
        <v>258</v>
      </c>
      <c r="AI18" s="1" t="s">
        <v>242</v>
      </c>
      <c r="AJ18" s="1" t="s">
        <v>437</v>
      </c>
      <c r="AK18" s="1" t="s">
        <v>288</v>
      </c>
      <c r="AL18" s="1" t="s">
        <v>233</v>
      </c>
      <c r="AM18" s="1" t="s">
        <v>258</v>
      </c>
      <c r="AN18" s="1" t="s">
        <v>486</v>
      </c>
      <c r="AO18" s="1" t="s">
        <v>494</v>
      </c>
      <c r="AP18" s="1" t="s">
        <v>504</v>
      </c>
      <c r="AQ18" s="1" t="s">
        <v>504</v>
      </c>
      <c r="AR18" s="1" t="s">
        <v>532</v>
      </c>
      <c r="AS18" s="1" t="s">
        <v>532</v>
      </c>
      <c r="AT18" s="1" t="s">
        <v>551</v>
      </c>
      <c r="AU18" s="1" t="s">
        <v>551</v>
      </c>
      <c r="AV18" s="1" t="s">
        <v>486</v>
      </c>
      <c r="AW18" s="1" t="s">
        <v>486</v>
      </c>
      <c r="AX18" s="1" t="s">
        <v>209</v>
      </c>
      <c r="AY18" s="1" t="s">
        <v>486</v>
      </c>
      <c r="AZ18">
        <v>1116</v>
      </c>
      <c r="BA18">
        <v>914</v>
      </c>
      <c r="BB18">
        <v>1215</v>
      </c>
      <c r="BC18">
        <v>1014</v>
      </c>
      <c r="BD18">
        <v>1216</v>
      </c>
      <c r="BE18">
        <v>1216</v>
      </c>
      <c r="BF18">
        <v>1216</v>
      </c>
      <c r="BG18">
        <v>1216</v>
      </c>
      <c r="BH18">
        <v>1215</v>
      </c>
      <c r="BI18">
        <v>1214</v>
      </c>
      <c r="BJ18">
        <v>1116</v>
      </c>
      <c r="BK18">
        <v>816</v>
      </c>
      <c r="BL18">
        <v>1522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</row>
    <row r="19" spans="1:77" x14ac:dyDescent="0.2">
      <c r="A19" t="s">
        <v>245</v>
      </c>
      <c r="B19" s="1"/>
      <c r="C19" s="43" t="s">
        <v>244</v>
      </c>
      <c r="D19" s="8" t="s">
        <v>246</v>
      </c>
      <c r="E19" s="4" t="s">
        <v>169</v>
      </c>
      <c r="F19" s="8" t="s">
        <v>8</v>
      </c>
      <c r="S19" s="1" t="s">
        <v>243</v>
      </c>
      <c r="T19" s="1" t="s">
        <v>243</v>
      </c>
      <c r="U19" s="1" t="s">
        <v>243</v>
      </c>
      <c r="V19" s="1" t="s">
        <v>269</v>
      </c>
      <c r="W19" s="1" t="s">
        <v>275</v>
      </c>
      <c r="X19" s="1" t="s">
        <v>243</v>
      </c>
      <c r="Y19" s="1" t="s">
        <v>197</v>
      </c>
      <c r="Z19" s="1" t="s">
        <v>243</v>
      </c>
      <c r="AA19" s="1" t="s">
        <v>269</v>
      </c>
      <c r="AB19" s="1" t="s">
        <v>275</v>
      </c>
      <c r="AC19" s="4" t="s">
        <v>296</v>
      </c>
      <c r="AD19" s="1" t="s">
        <v>372</v>
      </c>
      <c r="AE19" s="1" t="s">
        <v>275</v>
      </c>
      <c r="AF19" s="1" t="s">
        <v>275</v>
      </c>
      <c r="AG19" s="1" t="s">
        <v>243</v>
      </c>
      <c r="AH19" s="1" t="s">
        <v>243</v>
      </c>
      <c r="AI19" s="1" t="s">
        <v>243</v>
      </c>
      <c r="AJ19" s="1" t="s">
        <v>243</v>
      </c>
      <c r="AK19" s="1" t="s">
        <v>311</v>
      </c>
      <c r="AL19" s="1" t="s">
        <v>454</v>
      </c>
      <c r="AM19" s="1" t="s">
        <v>197</v>
      </c>
      <c r="AN19" s="1" t="s">
        <v>480</v>
      </c>
      <c r="AO19" s="1" t="s">
        <v>492</v>
      </c>
      <c r="AP19" s="1" t="s">
        <v>243</v>
      </c>
      <c r="AQ19" s="1" t="s">
        <v>515</v>
      </c>
      <c r="AR19" s="1" t="s">
        <v>275</v>
      </c>
      <c r="AS19" s="1" t="s">
        <v>269</v>
      </c>
      <c r="AT19" s="1" t="s">
        <v>492</v>
      </c>
      <c r="AU19" s="1" t="s">
        <v>559</v>
      </c>
      <c r="AV19" s="1" t="s">
        <v>527</v>
      </c>
      <c r="AW19" s="1" t="s">
        <v>575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</row>
    <row r="20" spans="1:77" x14ac:dyDescent="0.2">
      <c r="A20"/>
      <c r="B20" s="1"/>
      <c r="C20" s="43" t="s">
        <v>255</v>
      </c>
      <c r="D20" s="8" t="s">
        <v>256</v>
      </c>
      <c r="E20" s="4" t="s">
        <v>169</v>
      </c>
      <c r="F20" s="8" t="s">
        <v>8</v>
      </c>
      <c r="U20" s="1" t="s">
        <v>257</v>
      </c>
      <c r="V20" s="1" t="s">
        <v>268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</row>
    <row r="21" spans="1:77" x14ac:dyDescent="0.2">
      <c r="A21" t="s">
        <v>279</v>
      </c>
      <c r="B21" s="1"/>
      <c r="C21" s="43" t="s">
        <v>276</v>
      </c>
      <c r="D21" s="8" t="s">
        <v>353</v>
      </c>
      <c r="E21" s="4" t="s">
        <v>169</v>
      </c>
      <c r="F21" s="8" t="s">
        <v>8</v>
      </c>
      <c r="W21" s="1" t="s">
        <v>280</v>
      </c>
      <c r="X21" s="1" t="s">
        <v>290</v>
      </c>
      <c r="Y21" s="1" t="s">
        <v>290</v>
      </c>
      <c r="Z21" s="1" t="s">
        <v>310</v>
      </c>
      <c r="AA21" s="1" t="s">
        <v>290</v>
      </c>
      <c r="AB21" s="1" t="s">
        <v>290</v>
      </c>
      <c r="AC21" s="4" t="s">
        <v>290</v>
      </c>
      <c r="AD21" s="1" t="s">
        <v>290</v>
      </c>
      <c r="AE21" s="1" t="s">
        <v>290</v>
      </c>
      <c r="AF21" s="1" t="s">
        <v>290</v>
      </c>
      <c r="AG21" s="1" t="s">
        <v>403</v>
      </c>
      <c r="AH21" s="1" t="s">
        <v>418</v>
      </c>
      <c r="AI21" s="1" t="s">
        <v>290</v>
      </c>
      <c r="AJ21" s="1" t="s">
        <v>290</v>
      </c>
      <c r="AK21" s="1" t="s">
        <v>443</v>
      </c>
      <c r="AL21" s="1" t="s">
        <v>290</v>
      </c>
      <c r="AM21" s="1" t="s">
        <v>339</v>
      </c>
      <c r="AN21" s="1" t="s">
        <v>479</v>
      </c>
      <c r="AO21" s="1" t="s">
        <v>271</v>
      </c>
      <c r="AP21" s="1" t="s">
        <v>313</v>
      </c>
      <c r="AQ21" s="1" t="s">
        <v>290</v>
      </c>
      <c r="AR21" s="1" t="s">
        <v>290</v>
      </c>
      <c r="AS21" s="1" t="s">
        <v>535</v>
      </c>
      <c r="AT21" s="1" t="s">
        <v>543</v>
      </c>
      <c r="AU21" s="1" t="s">
        <v>555</v>
      </c>
      <c r="AV21" s="1" t="s">
        <v>339</v>
      </c>
      <c r="AW21" s="1" t="s">
        <v>339</v>
      </c>
      <c r="AX21" s="1" t="s">
        <v>305</v>
      </c>
      <c r="AY21" s="1" t="s">
        <v>287</v>
      </c>
      <c r="AZ21">
        <v>2512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</row>
    <row r="22" spans="1:77" x14ac:dyDescent="0.2">
      <c r="A22"/>
      <c r="B22" s="1" t="s">
        <v>51</v>
      </c>
      <c r="C22" s="43" t="s">
        <v>277</v>
      </c>
      <c r="D22" s="8" t="s">
        <v>281</v>
      </c>
      <c r="E22" s="4" t="s">
        <v>169</v>
      </c>
      <c r="F22" s="8" t="s">
        <v>8</v>
      </c>
      <c r="W22" s="1" t="s">
        <v>282</v>
      </c>
      <c r="X22" s="1" t="s">
        <v>282</v>
      </c>
      <c r="Y22" s="1" t="s">
        <v>282</v>
      </c>
      <c r="Z22" s="1" t="s">
        <v>282</v>
      </c>
      <c r="AA22" s="1" t="s">
        <v>320</v>
      </c>
      <c r="AB22" s="1" t="s">
        <v>282</v>
      </c>
      <c r="AC22" s="4" t="s">
        <v>320</v>
      </c>
      <c r="AD22" s="1" t="s">
        <v>320</v>
      </c>
      <c r="AE22" s="1" t="s">
        <v>282</v>
      </c>
      <c r="AF22" s="1" t="s">
        <v>282</v>
      </c>
      <c r="AG22" s="1" t="s">
        <v>320</v>
      </c>
      <c r="AH22" s="1" t="s">
        <v>282</v>
      </c>
      <c r="AI22" s="1" t="s">
        <v>282</v>
      </c>
      <c r="AJ22" s="1" t="s">
        <v>438</v>
      </c>
      <c r="AK22" s="1" t="s">
        <v>448</v>
      </c>
      <c r="AL22" s="1" t="s">
        <v>455</v>
      </c>
      <c r="AM22" s="1" t="s">
        <v>448</v>
      </c>
      <c r="AN22" s="1" t="s">
        <v>238</v>
      </c>
      <c r="AO22" s="1" t="s">
        <v>495</v>
      </c>
      <c r="AS22" s="1" t="s">
        <v>282</v>
      </c>
      <c r="AT22" s="1" t="s">
        <v>282</v>
      </c>
      <c r="AU22" s="1" t="s">
        <v>438</v>
      </c>
      <c r="AV22" s="1" t="s">
        <v>282</v>
      </c>
      <c r="AW22" s="1" t="s">
        <v>320</v>
      </c>
      <c r="AX22" s="1" t="s">
        <v>320</v>
      </c>
      <c r="AY22" s="1" t="s">
        <v>386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</row>
    <row r="23" spans="1:77" x14ac:dyDescent="0.2">
      <c r="A23"/>
      <c r="B23" s="1"/>
      <c r="C23" s="43" t="s">
        <v>278</v>
      </c>
      <c r="D23" s="8" t="s">
        <v>283</v>
      </c>
      <c r="E23" s="4" t="s">
        <v>169</v>
      </c>
      <c r="F23" s="8" t="s">
        <v>8</v>
      </c>
      <c r="W23" s="1" t="s">
        <v>284</v>
      </c>
      <c r="X23" s="1" t="s">
        <v>291</v>
      </c>
      <c r="Y23" s="1" t="s">
        <v>240</v>
      </c>
      <c r="Z23" s="1" t="s">
        <v>284</v>
      </c>
      <c r="AA23" s="1" t="s">
        <v>284</v>
      </c>
      <c r="AB23" s="1" t="s">
        <v>284</v>
      </c>
      <c r="AC23" s="4" t="s">
        <v>291</v>
      </c>
      <c r="AD23" s="1" t="s">
        <v>252</v>
      </c>
      <c r="AE23" s="1" t="s">
        <v>284</v>
      </c>
      <c r="AF23" s="1" t="s">
        <v>284</v>
      </c>
      <c r="AG23" s="1" t="s">
        <v>291</v>
      </c>
      <c r="AH23" s="1" t="s">
        <v>284</v>
      </c>
      <c r="AI23" s="1" t="s">
        <v>291</v>
      </c>
      <c r="AJ23" s="1" t="s">
        <v>439</v>
      </c>
      <c r="AK23" s="1" t="s">
        <v>252</v>
      </c>
      <c r="AL23" s="1" t="s">
        <v>284</v>
      </c>
      <c r="AM23" s="1" t="s">
        <v>291</v>
      </c>
      <c r="AN23" s="1" t="s">
        <v>439</v>
      </c>
      <c r="AO23" s="1" t="s">
        <v>499</v>
      </c>
      <c r="AP23" s="1" t="s">
        <v>508</v>
      </c>
      <c r="AQ23" s="1" t="s">
        <v>508</v>
      </c>
      <c r="AR23" s="1" t="s">
        <v>226</v>
      </c>
      <c r="AS23" s="1" t="s">
        <v>190</v>
      </c>
      <c r="AT23" s="1" t="s">
        <v>238</v>
      </c>
      <c r="AX23" s="1" t="s">
        <v>238</v>
      </c>
      <c r="AY23" s="1" t="s">
        <v>561</v>
      </c>
      <c r="AZ23">
        <v>1509</v>
      </c>
      <c r="BA23">
        <v>1506</v>
      </c>
      <c r="BB23">
        <v>1808</v>
      </c>
      <c r="BC23">
        <v>1607</v>
      </c>
      <c r="BD23">
        <v>1607</v>
      </c>
      <c r="BE23">
        <v>1506</v>
      </c>
      <c r="BF23">
        <v>1706</v>
      </c>
      <c r="BG23">
        <v>1807</v>
      </c>
      <c r="BH23">
        <v>1807</v>
      </c>
      <c r="BI23">
        <v>1507</v>
      </c>
      <c r="BJ23">
        <v>1707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</row>
    <row r="24" spans="1:77" x14ac:dyDescent="0.2">
      <c r="A24"/>
      <c r="B24" s="1" t="s">
        <v>293</v>
      </c>
      <c r="C24" s="43" t="s">
        <v>292</v>
      </c>
      <c r="D24" s="8" t="s">
        <v>303</v>
      </c>
      <c r="E24" s="4" t="s">
        <v>169</v>
      </c>
      <c r="F24" s="8" t="s">
        <v>8</v>
      </c>
      <c r="X24" s="1" t="s">
        <v>201</v>
      </c>
      <c r="Y24" s="1" t="s">
        <v>302</v>
      </c>
      <c r="Z24" s="1" t="s">
        <v>310</v>
      </c>
      <c r="AA24" s="1" t="s">
        <v>225</v>
      </c>
      <c r="AB24" s="1" t="s">
        <v>310</v>
      </c>
      <c r="AC24" s="4" t="s">
        <v>225</v>
      </c>
      <c r="AD24" s="1" t="s">
        <v>225</v>
      </c>
      <c r="AE24" s="1" t="s">
        <v>310</v>
      </c>
      <c r="AF24" s="1" t="s">
        <v>225</v>
      </c>
      <c r="AG24" s="1" t="s">
        <v>405</v>
      </c>
      <c r="AH24" s="1" t="s">
        <v>284</v>
      </c>
      <c r="AI24" s="1" t="s">
        <v>310</v>
      </c>
      <c r="AJ24" s="1" t="s">
        <v>310</v>
      </c>
      <c r="AK24" s="1" t="s">
        <v>310</v>
      </c>
      <c r="AL24" s="1" t="s">
        <v>310</v>
      </c>
      <c r="AM24" s="1" t="s">
        <v>310</v>
      </c>
      <c r="AN24" s="1" t="s">
        <v>310</v>
      </c>
      <c r="AO24" s="1" t="s">
        <v>263</v>
      </c>
      <c r="AP24" s="1" t="s">
        <v>310</v>
      </c>
      <c r="AQ24" s="1" t="s">
        <v>225</v>
      </c>
      <c r="AR24" s="1" t="s">
        <v>310</v>
      </c>
      <c r="AS24" s="1" t="s">
        <v>310</v>
      </c>
      <c r="AT24" s="1" t="s">
        <v>544</v>
      </c>
      <c r="AU24" s="1" t="s">
        <v>556</v>
      </c>
      <c r="AV24" s="1" t="s">
        <v>556</v>
      </c>
      <c r="AW24" s="1" t="s">
        <v>556</v>
      </c>
      <c r="AX24" s="1" t="s">
        <v>310</v>
      </c>
      <c r="AY24" s="1" t="s">
        <v>556</v>
      </c>
      <c r="AZ24">
        <v>2913</v>
      </c>
      <c r="BA24">
        <v>2913</v>
      </c>
      <c r="BB24">
        <v>2812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</row>
    <row r="25" spans="1:77" x14ac:dyDescent="0.2">
      <c r="A25"/>
      <c r="B25" s="1"/>
      <c r="C25" s="43" t="s">
        <v>322</v>
      </c>
      <c r="D25" s="8" t="s">
        <v>321</v>
      </c>
      <c r="E25" s="4" t="s">
        <v>169</v>
      </c>
      <c r="F25" s="8" t="s">
        <v>8</v>
      </c>
      <c r="Z25" s="1" t="s">
        <v>325</v>
      </c>
      <c r="AA25" s="1" t="s">
        <v>257</v>
      </c>
      <c r="AF25" s="1" t="s">
        <v>343</v>
      </c>
      <c r="AG25" s="1" t="s">
        <v>404</v>
      </c>
      <c r="AH25" s="1" t="s">
        <v>419</v>
      </c>
      <c r="AK25" s="1" t="s">
        <v>407</v>
      </c>
      <c r="AL25" s="1" t="s">
        <v>407</v>
      </c>
      <c r="AM25" s="1" t="s">
        <v>469</v>
      </c>
      <c r="AN25" s="1" t="s">
        <v>488</v>
      </c>
      <c r="AO25" s="1" t="s">
        <v>407</v>
      </c>
      <c r="AQ25" s="1" t="s">
        <v>514</v>
      </c>
      <c r="AR25" s="1" t="s">
        <v>204</v>
      </c>
      <c r="AU25" s="1" t="s">
        <v>565</v>
      </c>
      <c r="AV25" s="1" t="s">
        <v>241</v>
      </c>
      <c r="AW25" s="1" t="s">
        <v>260</v>
      </c>
      <c r="AY25" s="1" t="s">
        <v>427</v>
      </c>
      <c r="AZ25">
        <v>405</v>
      </c>
      <c r="BA25">
        <v>304</v>
      </c>
      <c r="BB25">
        <v>404</v>
      </c>
      <c r="BC25">
        <v>305</v>
      </c>
      <c r="BD25">
        <v>303</v>
      </c>
      <c r="BE25">
        <v>205</v>
      </c>
      <c r="BF25">
        <v>304</v>
      </c>
      <c r="BG25"/>
      <c r="BH25">
        <v>404</v>
      </c>
      <c r="BI25">
        <v>405</v>
      </c>
      <c r="BJ25">
        <v>405</v>
      </c>
      <c r="BK25"/>
      <c r="BL25">
        <v>706</v>
      </c>
      <c r="BM25">
        <v>806</v>
      </c>
      <c r="BN25"/>
      <c r="BO25">
        <v>505</v>
      </c>
      <c r="BP25"/>
      <c r="BQ25"/>
      <c r="BR25"/>
      <c r="BS25"/>
      <c r="BT25"/>
      <c r="BU25"/>
      <c r="BV25"/>
      <c r="BW25"/>
      <c r="BX25"/>
      <c r="BY25"/>
    </row>
    <row r="26" spans="1:77" x14ac:dyDescent="0.2">
      <c r="A26"/>
      <c r="B26" s="1"/>
      <c r="C26" s="43" t="s">
        <v>323</v>
      </c>
      <c r="D26" s="8" t="s">
        <v>328</v>
      </c>
      <c r="E26" s="4" t="s">
        <v>10</v>
      </c>
      <c r="F26" s="8" t="s">
        <v>8</v>
      </c>
      <c r="AA26" s="1" t="s">
        <v>326</v>
      </c>
      <c r="AB26" s="1" t="s">
        <v>343</v>
      </c>
      <c r="AC26" s="4" t="s">
        <v>326</v>
      </c>
      <c r="AD26" s="1" t="s">
        <v>257</v>
      </c>
      <c r="AE26" s="1" t="s">
        <v>257</v>
      </c>
      <c r="AF26" s="1" t="s">
        <v>257</v>
      </c>
      <c r="AJ26" s="1" t="s">
        <v>326</v>
      </c>
      <c r="AK26" s="1" t="s">
        <v>432</v>
      </c>
      <c r="AL26" s="1" t="s">
        <v>432</v>
      </c>
      <c r="AM26" s="1" t="s">
        <v>468</v>
      </c>
      <c r="AN26" s="1" t="s">
        <v>468</v>
      </c>
      <c r="AO26" s="1" t="s">
        <v>500</v>
      </c>
      <c r="AP26" s="1" t="s">
        <v>467</v>
      </c>
      <c r="AQ26" s="1" t="s">
        <v>513</v>
      </c>
      <c r="AR26" s="1" t="s">
        <v>482</v>
      </c>
      <c r="AS26" s="1" t="s">
        <v>513</v>
      </c>
      <c r="AT26" s="1" t="s">
        <v>482</v>
      </c>
      <c r="AU26" s="1" t="s">
        <v>482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</row>
    <row r="27" spans="1:77" x14ac:dyDescent="0.2">
      <c r="A27"/>
      <c r="B27" s="1"/>
      <c r="C27" s="43" t="s">
        <v>324</v>
      </c>
      <c r="D27" s="8" t="s">
        <v>376</v>
      </c>
      <c r="E27" s="4" t="s">
        <v>169</v>
      </c>
      <c r="F27" s="8" t="s">
        <v>8</v>
      </c>
      <c r="AA27" s="1" t="s">
        <v>327</v>
      </c>
      <c r="AC27" s="4" t="s">
        <v>359</v>
      </c>
      <c r="AD27" s="1" t="s">
        <v>373</v>
      </c>
      <c r="AE27" s="1" t="s">
        <v>359</v>
      </c>
      <c r="AI27" s="1" t="s">
        <v>426</v>
      </c>
      <c r="AJ27" s="1" t="s">
        <v>440</v>
      </c>
      <c r="AK27" s="1" t="s">
        <v>170</v>
      </c>
      <c r="AX27" s="1" t="s">
        <v>589</v>
      </c>
      <c r="AY27" s="1" t="s">
        <v>356</v>
      </c>
      <c r="AZ27">
        <v>407</v>
      </c>
      <c r="BA27">
        <v>406</v>
      </c>
      <c r="BB27">
        <v>406</v>
      </c>
      <c r="BC27">
        <v>406</v>
      </c>
      <c r="BD27">
        <v>505</v>
      </c>
      <c r="BE27">
        <v>407</v>
      </c>
      <c r="BF27"/>
      <c r="BG27">
        <v>305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</row>
    <row r="28" spans="1:77" x14ac:dyDescent="0.2">
      <c r="A28"/>
      <c r="B28" s="1" t="s">
        <v>19</v>
      </c>
      <c r="C28" s="43" t="s">
        <v>329</v>
      </c>
      <c r="D28" s="8" t="s">
        <v>335</v>
      </c>
      <c r="E28" s="4" t="s">
        <v>180</v>
      </c>
      <c r="F28" s="8" t="s">
        <v>8</v>
      </c>
      <c r="AB28" s="1" t="s">
        <v>334</v>
      </c>
      <c r="AC28" s="4" t="s">
        <v>334</v>
      </c>
      <c r="AD28" s="1" t="s">
        <v>374</v>
      </c>
      <c r="AE28" s="1" t="s">
        <v>334</v>
      </c>
      <c r="AF28" s="1" t="s">
        <v>334</v>
      </c>
      <c r="AG28" s="1" t="s">
        <v>406</v>
      </c>
      <c r="AO28" s="1" t="s">
        <v>334</v>
      </c>
      <c r="AP28" s="1" t="s">
        <v>503</v>
      </c>
      <c r="AQ28" s="1" t="s">
        <v>334</v>
      </c>
      <c r="AR28" s="1" t="s">
        <v>202</v>
      </c>
      <c r="AS28" s="1" t="s">
        <v>334</v>
      </c>
      <c r="AT28" s="1" t="s">
        <v>334</v>
      </c>
      <c r="AU28" s="1" t="s">
        <v>483</v>
      </c>
      <c r="AV28" s="1" t="s">
        <v>483</v>
      </c>
      <c r="AW28" s="1" t="s">
        <v>222</v>
      </c>
      <c r="AX28" s="1" t="s">
        <v>483</v>
      </c>
      <c r="AY28" s="1" t="s">
        <v>334</v>
      </c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</row>
    <row r="29" spans="1:77" x14ac:dyDescent="0.2">
      <c r="A29"/>
      <c r="B29" s="1"/>
      <c r="C29" s="43" t="s">
        <v>330</v>
      </c>
      <c r="D29" s="8" t="s">
        <v>349</v>
      </c>
      <c r="E29" s="4" t="s">
        <v>169</v>
      </c>
      <c r="F29" t="s">
        <v>8</v>
      </c>
      <c r="AB29" s="1" t="s">
        <v>333</v>
      </c>
      <c r="AC29" s="4" t="s">
        <v>191</v>
      </c>
      <c r="AD29" s="1" t="s">
        <v>333</v>
      </c>
      <c r="AE29" s="1" t="s">
        <v>191</v>
      </c>
      <c r="AF29" s="1" t="s">
        <v>191</v>
      </c>
      <c r="AG29" s="1" t="s">
        <v>407</v>
      </c>
      <c r="AH29" s="1" t="s">
        <v>407</v>
      </c>
      <c r="AI29" s="1" t="s">
        <v>427</v>
      </c>
      <c r="AJ29" s="1" t="s">
        <v>253</v>
      </c>
      <c r="AK29" s="1" t="s">
        <v>370</v>
      </c>
      <c r="AL29" s="1" t="s">
        <v>315</v>
      </c>
      <c r="AM29" s="1" t="s">
        <v>315</v>
      </c>
      <c r="AN29" s="1" t="s">
        <v>332</v>
      </c>
      <c r="AO29" s="1" t="s">
        <v>306</v>
      </c>
      <c r="AP29" s="1" t="s">
        <v>306</v>
      </c>
      <c r="AQ29" s="1" t="s">
        <v>427</v>
      </c>
      <c r="AR29" s="1" t="s">
        <v>386</v>
      </c>
      <c r="AS29" s="1" t="s">
        <v>315</v>
      </c>
      <c r="AT29" s="1" t="s">
        <v>306</v>
      </c>
      <c r="AU29" s="1" t="s">
        <v>306</v>
      </c>
      <c r="AV29" s="1" t="s">
        <v>332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</row>
    <row r="30" spans="1:77" x14ac:dyDescent="0.2">
      <c r="A30"/>
      <c r="B30" s="1"/>
      <c r="C30" s="43" t="s">
        <v>331</v>
      </c>
      <c r="D30" s="8" t="s">
        <v>350</v>
      </c>
      <c r="E30" s="4" t="s">
        <v>169</v>
      </c>
      <c r="F30" t="s">
        <v>8</v>
      </c>
      <c r="AB30" s="1" t="s">
        <v>332</v>
      </c>
      <c r="AC30" s="4" t="s">
        <v>361</v>
      </c>
      <c r="AD30" s="1" t="s">
        <v>375</v>
      </c>
      <c r="AE30" s="1" t="s">
        <v>375</v>
      </c>
      <c r="AF30" s="1" t="s">
        <v>396</v>
      </c>
      <c r="AG30" s="1" t="s">
        <v>375</v>
      </c>
      <c r="AH30" s="1" t="s">
        <v>257</v>
      </c>
      <c r="AI30" s="1" t="s">
        <v>326</v>
      </c>
      <c r="AO30" s="1" t="s">
        <v>439</v>
      </c>
      <c r="AP30" s="1" t="s">
        <v>284</v>
      </c>
      <c r="AQ30" s="1" t="s">
        <v>205</v>
      </c>
      <c r="AR30" s="1" t="s">
        <v>205</v>
      </c>
      <c r="AS30" s="1" t="s">
        <v>284</v>
      </c>
      <c r="AT30" s="1" t="s">
        <v>284</v>
      </c>
      <c r="AU30" s="1" t="s">
        <v>564</v>
      </c>
      <c r="AV30" s="1" t="s">
        <v>289</v>
      </c>
      <c r="AW30" s="1" t="s">
        <v>439</v>
      </c>
      <c r="AX30" s="1" t="s">
        <v>272</v>
      </c>
      <c r="AY30" s="1" t="s">
        <v>284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</row>
    <row r="31" spans="1:77" x14ac:dyDescent="0.2">
      <c r="A31"/>
      <c r="B31" s="1"/>
      <c r="C31" s="43" t="s">
        <v>344</v>
      </c>
      <c r="D31" s="8" t="s">
        <v>362</v>
      </c>
      <c r="E31" s="4" t="s">
        <v>169</v>
      </c>
      <c r="F31" s="8" t="s">
        <v>8</v>
      </c>
      <c r="AC31" s="4" t="s">
        <v>348</v>
      </c>
      <c r="AD31" s="1" t="s">
        <v>348</v>
      </c>
      <c r="AE31" s="1" t="s">
        <v>388</v>
      </c>
      <c r="AF31" s="1" t="s">
        <v>197</v>
      </c>
      <c r="AG31" s="1" t="s">
        <v>197</v>
      </c>
      <c r="AH31" s="1" t="s">
        <v>388</v>
      </c>
      <c r="AJ31" s="1" t="s">
        <v>441</v>
      </c>
      <c r="AK31" s="1" t="s">
        <v>444</v>
      </c>
      <c r="AL31" s="1" t="s">
        <v>456</v>
      </c>
      <c r="AM31" s="1" t="s">
        <v>466</v>
      </c>
      <c r="AN31" s="1" t="s">
        <v>482</v>
      </c>
      <c r="AS31" s="1" t="s">
        <v>170</v>
      </c>
      <c r="AT31" s="1" t="s">
        <v>170</v>
      </c>
      <c r="AU31" s="1" t="s">
        <v>170</v>
      </c>
      <c r="AV31" s="1" t="s">
        <v>170</v>
      </c>
      <c r="AW31" s="1" t="s">
        <v>170</v>
      </c>
      <c r="AX31" s="1" t="s">
        <v>235</v>
      </c>
      <c r="AY31" s="1" t="s">
        <v>531</v>
      </c>
      <c r="AZ31">
        <v>2111</v>
      </c>
      <c r="BA31">
        <v>2110</v>
      </c>
      <c r="BB31">
        <v>2010</v>
      </c>
      <c r="BC31">
        <v>2210</v>
      </c>
      <c r="BD31">
        <v>1809</v>
      </c>
      <c r="BE31">
        <v>2010</v>
      </c>
      <c r="BF31">
        <v>2110</v>
      </c>
      <c r="BG31">
        <v>1908</v>
      </c>
      <c r="BH31"/>
      <c r="BI31">
        <v>2009</v>
      </c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</row>
    <row r="32" spans="1:77" x14ac:dyDescent="0.2">
      <c r="A32"/>
      <c r="B32" s="1"/>
      <c r="C32" s="43" t="s">
        <v>345</v>
      </c>
      <c r="D32" t="s">
        <v>347</v>
      </c>
      <c r="E32" s="4" t="s">
        <v>169</v>
      </c>
      <c r="F32" t="s">
        <v>150</v>
      </c>
      <c r="AC32" s="1" t="s">
        <v>346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</row>
    <row r="33" spans="1:77" x14ac:dyDescent="0.2">
      <c r="A33"/>
      <c r="B33" s="1"/>
      <c r="C33" s="43" t="s">
        <v>377</v>
      </c>
      <c r="D33" t="s">
        <v>380</v>
      </c>
      <c r="E33" s="4" t="s">
        <v>169</v>
      </c>
      <c r="F33" t="s">
        <v>8</v>
      </c>
      <c r="AD33" s="1" t="s">
        <v>227</v>
      </c>
      <c r="AE33" s="1" t="s">
        <v>227</v>
      </c>
      <c r="AF33" s="1" t="s">
        <v>395</v>
      </c>
      <c r="AG33" s="1" t="s">
        <v>408</v>
      </c>
      <c r="AH33" s="1" t="s">
        <v>420</v>
      </c>
      <c r="AI33" s="1" t="s">
        <v>428</v>
      </c>
      <c r="AJ33" s="1" t="s">
        <v>420</v>
      </c>
      <c r="AK33" s="1" t="s">
        <v>304</v>
      </c>
      <c r="AL33" s="1" t="s">
        <v>285</v>
      </c>
      <c r="AM33" s="1" t="s">
        <v>304</v>
      </c>
      <c r="AN33" s="1" t="s">
        <v>477</v>
      </c>
      <c r="AO33" s="1" t="s">
        <v>491</v>
      </c>
      <c r="AP33" s="1" t="s">
        <v>295</v>
      </c>
      <c r="AQ33" s="1" t="s">
        <v>491</v>
      </c>
      <c r="AR33" s="1" t="s">
        <v>530</v>
      </c>
      <c r="AS33" s="1" t="s">
        <v>534</v>
      </c>
      <c r="AT33" s="1" t="s">
        <v>367</v>
      </c>
      <c r="AU33" s="1" t="s">
        <v>367</v>
      </c>
      <c r="AV33" s="1" t="s">
        <v>491</v>
      </c>
      <c r="AW33" s="1" t="s">
        <v>573</v>
      </c>
      <c r="AX33" s="1" t="s">
        <v>584</v>
      </c>
      <c r="AY33" s="1" t="s">
        <v>491</v>
      </c>
      <c r="AZ33">
        <v>3210</v>
      </c>
      <c r="BA33">
        <v>3111</v>
      </c>
      <c r="BB33">
        <v>3111</v>
      </c>
      <c r="BC33">
        <v>3112</v>
      </c>
      <c r="BD33">
        <v>3011</v>
      </c>
      <c r="BE33">
        <v>3109</v>
      </c>
      <c r="BF33">
        <v>3409</v>
      </c>
      <c r="BG33">
        <v>3109</v>
      </c>
      <c r="BH33">
        <v>3012</v>
      </c>
      <c r="BI33">
        <v>3111</v>
      </c>
      <c r="BJ33">
        <v>3111</v>
      </c>
      <c r="BK33">
        <v>3111</v>
      </c>
      <c r="BL33">
        <v>3112</v>
      </c>
      <c r="BM33">
        <v>3212</v>
      </c>
      <c r="BN33">
        <v>3112</v>
      </c>
      <c r="BO33">
        <v>3113</v>
      </c>
      <c r="BP33"/>
      <c r="BQ33"/>
      <c r="BR33"/>
      <c r="BS33"/>
      <c r="BT33"/>
      <c r="BU33"/>
      <c r="BV33"/>
      <c r="BW33"/>
      <c r="BX33"/>
      <c r="BY33"/>
    </row>
    <row r="34" spans="1:77" x14ac:dyDescent="0.2">
      <c r="A34"/>
      <c r="B34" s="1"/>
      <c r="C34" s="43" t="s">
        <v>378</v>
      </c>
      <c r="D34" t="s">
        <v>381</v>
      </c>
      <c r="E34" s="4" t="s">
        <v>169</v>
      </c>
      <c r="F34" t="s">
        <v>8</v>
      </c>
      <c r="AD34" s="1" t="s">
        <v>379</v>
      </c>
      <c r="AE34" s="1" t="s">
        <v>389</v>
      </c>
      <c r="AF34" s="1" t="s">
        <v>308</v>
      </c>
      <c r="AG34" s="1" t="s">
        <v>409</v>
      </c>
      <c r="AH34" s="1" t="s">
        <v>409</v>
      </c>
      <c r="AI34" s="1" t="s">
        <v>300</v>
      </c>
      <c r="AJ34" s="1" t="s">
        <v>389</v>
      </c>
      <c r="AK34" s="1" t="s">
        <v>449</v>
      </c>
      <c r="AL34" s="1" t="s">
        <v>449</v>
      </c>
      <c r="AN34" s="1" t="s">
        <v>476</v>
      </c>
      <c r="AO34" s="1" t="s">
        <v>476</v>
      </c>
      <c r="AP34" s="1" t="s">
        <v>389</v>
      </c>
      <c r="AQ34" s="1" t="s">
        <v>266</v>
      </c>
      <c r="AR34" s="1" t="s">
        <v>360</v>
      </c>
      <c r="AS34" s="1" t="s">
        <v>266</v>
      </c>
      <c r="AT34" s="1" t="s">
        <v>553</v>
      </c>
      <c r="AU34" s="1" t="s">
        <v>553</v>
      </c>
      <c r="AV34" s="1" t="s">
        <v>449</v>
      </c>
      <c r="AW34" s="1" t="s">
        <v>389</v>
      </c>
      <c r="AX34" s="1" t="s">
        <v>409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</row>
    <row r="35" spans="1:77" x14ac:dyDescent="0.2">
      <c r="A35"/>
      <c r="B35" s="1" t="s">
        <v>383</v>
      </c>
      <c r="C35" s="43" t="s">
        <v>382</v>
      </c>
      <c r="D35" t="s">
        <v>384</v>
      </c>
      <c r="E35" s="4" t="s">
        <v>9</v>
      </c>
      <c r="F35" t="s">
        <v>8</v>
      </c>
      <c r="AE35" s="1" t="s">
        <v>390</v>
      </c>
      <c r="AF35" s="1" t="s">
        <v>394</v>
      </c>
      <c r="AG35" s="1" t="s">
        <v>390</v>
      </c>
      <c r="AH35" s="1" t="s">
        <v>210</v>
      </c>
      <c r="AI35" s="1" t="s">
        <v>390</v>
      </c>
      <c r="AJ35" s="1" t="s">
        <v>210</v>
      </c>
      <c r="AK35" s="1" t="s">
        <v>442</v>
      </c>
      <c r="AL35" s="1" t="s">
        <v>390</v>
      </c>
      <c r="AM35" s="1" t="s">
        <v>464</v>
      </c>
      <c r="AN35" s="1" t="s">
        <v>302</v>
      </c>
      <c r="AO35" s="1" t="s">
        <v>390</v>
      </c>
      <c r="AP35" s="1" t="s">
        <v>464</v>
      </c>
      <c r="AQ35" s="1" t="s">
        <v>390</v>
      </c>
      <c r="AR35" s="1" t="s">
        <v>210</v>
      </c>
      <c r="AS35" s="1" t="s">
        <v>210</v>
      </c>
      <c r="AT35" s="1" t="s">
        <v>390</v>
      </c>
      <c r="AU35" s="1" t="s">
        <v>557</v>
      </c>
      <c r="AV35" s="1" t="s">
        <v>210</v>
      </c>
      <c r="AW35" s="1" t="s">
        <v>464</v>
      </c>
      <c r="AX35" s="1" t="s">
        <v>585</v>
      </c>
      <c r="AY35" s="1" t="s">
        <v>302</v>
      </c>
      <c r="AZ35">
        <v>2910</v>
      </c>
      <c r="BA35">
        <v>2911</v>
      </c>
      <c r="BB35"/>
      <c r="BC35">
        <v>2911</v>
      </c>
      <c r="BD35">
        <v>2813</v>
      </c>
      <c r="BE35">
        <v>2912</v>
      </c>
      <c r="BF35">
        <v>2912</v>
      </c>
      <c r="BG35">
        <v>2912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</row>
    <row r="36" spans="1:77" x14ac:dyDescent="0.2">
      <c r="A36"/>
      <c r="B36" s="1"/>
      <c r="C36" s="43" t="s">
        <v>391</v>
      </c>
      <c r="D36" t="s">
        <v>392</v>
      </c>
      <c r="E36" s="4" t="s">
        <v>169</v>
      </c>
      <c r="F36" t="s">
        <v>8</v>
      </c>
      <c r="AF36" s="1" t="s">
        <v>393</v>
      </c>
      <c r="AG36" s="1" t="s">
        <v>215</v>
      </c>
      <c r="AH36" s="1" t="s">
        <v>215</v>
      </c>
      <c r="AS36" s="1" t="s">
        <v>170</v>
      </c>
      <c r="AT36" s="1" t="s">
        <v>170</v>
      </c>
      <c r="AW36" s="1" t="s">
        <v>581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</row>
    <row r="37" spans="1:77" x14ac:dyDescent="0.2">
      <c r="A37"/>
      <c r="B37" s="1"/>
      <c r="C37" s="43" t="s">
        <v>411</v>
      </c>
      <c r="D37" t="s">
        <v>413</v>
      </c>
      <c r="E37" s="4" t="s">
        <v>463</v>
      </c>
      <c r="F37" t="s">
        <v>8</v>
      </c>
      <c r="AH37" s="1" t="s">
        <v>412</v>
      </c>
      <c r="AI37" s="1" t="s">
        <v>429</v>
      </c>
      <c r="AJ37" s="1" t="s">
        <v>429</v>
      </c>
      <c r="AK37" s="1" t="s">
        <v>451</v>
      </c>
      <c r="AL37" s="1" t="s">
        <v>457</v>
      </c>
      <c r="AX37" s="1" t="s">
        <v>271</v>
      </c>
      <c r="AY37" s="1" t="s">
        <v>594</v>
      </c>
      <c r="AZ37">
        <v>2415</v>
      </c>
      <c r="BA37">
        <v>2416</v>
      </c>
      <c r="BB37">
        <v>2415</v>
      </c>
      <c r="BC37">
        <v>2416</v>
      </c>
      <c r="BD37">
        <v>2415</v>
      </c>
      <c r="BE37">
        <v>2415</v>
      </c>
      <c r="BF37">
        <v>2415</v>
      </c>
      <c r="BG37">
        <v>2417</v>
      </c>
      <c r="BH37"/>
      <c r="BI37"/>
      <c r="BJ37"/>
      <c r="BK37"/>
      <c r="BL37">
        <v>2215</v>
      </c>
      <c r="BM37">
        <v>2406</v>
      </c>
      <c r="BN37">
        <v>2407</v>
      </c>
      <c r="BO37">
        <v>2406</v>
      </c>
      <c r="BP37"/>
      <c r="BQ37"/>
      <c r="BR37"/>
      <c r="BS37"/>
      <c r="BT37"/>
      <c r="BU37"/>
      <c r="BV37"/>
      <c r="BW37"/>
      <c r="BX37"/>
      <c r="BY37"/>
    </row>
    <row r="38" spans="1:77" x14ac:dyDescent="0.2">
      <c r="A38"/>
      <c r="B38" s="1"/>
      <c r="C38" s="43" t="s">
        <v>421</v>
      </c>
      <c r="D38" t="s">
        <v>434</v>
      </c>
      <c r="E38" s="4" t="s">
        <v>169</v>
      </c>
      <c r="F38" t="s">
        <v>8</v>
      </c>
      <c r="AI38" s="1" t="s">
        <v>432</v>
      </c>
      <c r="AX38" s="1" t="s">
        <v>499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x14ac:dyDescent="0.2">
      <c r="A39"/>
      <c r="B39" s="1" t="s">
        <v>423</v>
      </c>
      <c r="C39" s="43" t="s">
        <v>422</v>
      </c>
      <c r="D39" t="s">
        <v>460</v>
      </c>
      <c r="E39" s="4" t="s">
        <v>424</v>
      </c>
      <c r="F39" t="s">
        <v>150</v>
      </c>
      <c r="AI39" s="1" t="s">
        <v>433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x14ac:dyDescent="0.2">
      <c r="A40"/>
      <c r="B40" s="1" t="s">
        <v>103</v>
      </c>
      <c r="C40" s="43" t="s">
        <v>459</v>
      </c>
      <c r="D40" t="s">
        <v>462</v>
      </c>
      <c r="E40" s="4" t="s">
        <v>10</v>
      </c>
      <c r="F40" t="s">
        <v>8</v>
      </c>
      <c r="AL40" s="1" t="s">
        <v>461</v>
      </c>
      <c r="AM40" s="1" t="s">
        <v>461</v>
      </c>
      <c r="AN40" s="1" t="s">
        <v>461</v>
      </c>
      <c r="AS40" s="1" t="s">
        <v>241</v>
      </c>
      <c r="AT40" s="1" t="s">
        <v>260</v>
      </c>
      <c r="AZ40"/>
      <c r="BA40"/>
      <c r="BB40"/>
      <c r="BC40"/>
      <c r="BD40"/>
      <c r="BE40"/>
      <c r="BF40"/>
      <c r="BG40"/>
      <c r="BH40"/>
      <c r="BI40"/>
      <c r="BJ40"/>
      <c r="BK40"/>
      <c r="BL40">
        <v>1614</v>
      </c>
      <c r="BM40">
        <v>1809</v>
      </c>
      <c r="BN40">
        <v>1806</v>
      </c>
      <c r="BO40">
        <v>2106</v>
      </c>
      <c r="BP40"/>
      <c r="BQ40"/>
      <c r="BR40"/>
      <c r="BS40"/>
      <c r="BT40"/>
      <c r="BU40"/>
      <c r="BV40"/>
      <c r="BW40"/>
      <c r="BX40"/>
      <c r="BY40"/>
    </row>
    <row r="41" spans="1:77" x14ac:dyDescent="0.2">
      <c r="A41"/>
      <c r="B41" s="1"/>
      <c r="C41" s="43" t="s">
        <v>470</v>
      </c>
      <c r="D41" t="s">
        <v>473</v>
      </c>
      <c r="E41" s="4" t="s">
        <v>169</v>
      </c>
      <c r="F41" t="s">
        <v>8</v>
      </c>
      <c r="AM41" s="1" t="s">
        <v>208</v>
      </c>
      <c r="AN41" s="1" t="s">
        <v>446</v>
      </c>
      <c r="AO41" s="1" t="s">
        <v>496</v>
      </c>
      <c r="AP41" s="1" t="s">
        <v>208</v>
      </c>
      <c r="AQ41" s="1" t="s">
        <v>512</v>
      </c>
      <c r="AR41" s="1" t="s">
        <v>531</v>
      </c>
      <c r="AS41" s="1" t="s">
        <v>536</v>
      </c>
      <c r="AT41" s="1" t="s">
        <v>536</v>
      </c>
      <c r="AU41" s="1" t="s">
        <v>208</v>
      </c>
      <c r="AV41" s="1" t="s">
        <v>536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x14ac:dyDescent="0.2">
      <c r="A42"/>
      <c r="B42" s="1"/>
      <c r="C42" s="43" t="s">
        <v>471</v>
      </c>
      <c r="D42" t="s">
        <v>474</v>
      </c>
      <c r="E42" s="4" t="s">
        <v>169</v>
      </c>
      <c r="F42" t="s">
        <v>8</v>
      </c>
      <c r="AM42" s="1" t="s">
        <v>472</v>
      </c>
      <c r="AN42" s="1" t="s">
        <v>472</v>
      </c>
      <c r="AO42" s="1" t="s">
        <v>472</v>
      </c>
      <c r="AP42" s="1" t="s">
        <v>472</v>
      </c>
      <c r="AQ42" s="1" t="s">
        <v>511</v>
      </c>
      <c r="AR42" s="1" t="s">
        <v>472</v>
      </c>
      <c r="AS42" s="1" t="s">
        <v>472</v>
      </c>
      <c r="AT42" s="1" t="s">
        <v>371</v>
      </c>
      <c r="AU42" s="1" t="s">
        <v>511</v>
      </c>
      <c r="AV42" s="1" t="s">
        <v>472</v>
      </c>
      <c r="AW42" s="1" t="s">
        <v>576</v>
      </c>
      <c r="AX42" s="1" t="s">
        <v>576</v>
      </c>
      <c r="AY42" s="1" t="s">
        <v>511</v>
      </c>
      <c r="AZ42">
        <v>1711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x14ac:dyDescent="0.2">
      <c r="A43"/>
      <c r="B43" s="1"/>
      <c r="C43" s="43" t="s">
        <v>489</v>
      </c>
      <c r="D43" t="s">
        <v>490</v>
      </c>
      <c r="E43" s="4" t="s">
        <v>169</v>
      </c>
      <c r="F43" s="4" t="s">
        <v>8</v>
      </c>
      <c r="AO43" s="1" t="s">
        <v>265</v>
      </c>
      <c r="AP43" s="1" t="s">
        <v>296</v>
      </c>
      <c r="AQ43" s="1" t="s">
        <v>510</v>
      </c>
      <c r="AY43" s="1" t="s">
        <v>286</v>
      </c>
      <c r="AZ43"/>
      <c r="BA43">
        <v>2606</v>
      </c>
      <c r="BB43">
        <v>2507</v>
      </c>
      <c r="BC43">
        <v>2809</v>
      </c>
      <c r="BD43">
        <v>2709</v>
      </c>
      <c r="BE43">
        <v>2607</v>
      </c>
      <c r="BF43">
        <v>2610</v>
      </c>
      <c r="BG43">
        <v>2710</v>
      </c>
      <c r="BH43">
        <v>2606</v>
      </c>
      <c r="BI43">
        <v>2609</v>
      </c>
      <c r="BJ43">
        <v>2709</v>
      </c>
      <c r="BK43">
        <v>2809</v>
      </c>
      <c r="BL43"/>
      <c r="BM43">
        <v>2709</v>
      </c>
      <c r="BN43"/>
      <c r="BO43"/>
      <c r="BP43"/>
      <c r="BQ43"/>
      <c r="BR43"/>
      <c r="BS43"/>
      <c r="BT43"/>
      <c r="BU43"/>
      <c r="BV43"/>
      <c r="BW43"/>
      <c r="BX43"/>
      <c r="BY43"/>
    </row>
    <row r="44" spans="1:77" x14ac:dyDescent="0.2">
      <c r="A44"/>
      <c r="B44" s="40" t="s">
        <v>20</v>
      </c>
      <c r="C44" s="43" t="s">
        <v>521</v>
      </c>
      <c r="D44" t="s">
        <v>522</v>
      </c>
      <c r="E44" s="4" t="s">
        <v>523</v>
      </c>
      <c r="F44" t="s">
        <v>8</v>
      </c>
      <c r="AR44" s="1" t="s">
        <v>262</v>
      </c>
      <c r="AT44" s="1" t="s">
        <v>487</v>
      </c>
      <c r="AU44" s="1" t="s">
        <v>505</v>
      </c>
      <c r="AV44" s="1" t="s">
        <v>447</v>
      </c>
      <c r="AW44" s="1" t="s">
        <v>476</v>
      </c>
      <c r="AX44" s="1" t="s">
        <v>254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x14ac:dyDescent="0.2">
      <c r="A45"/>
      <c r="B45" s="1"/>
      <c r="C45" s="43" t="s">
        <v>524</v>
      </c>
      <c r="D45" t="s">
        <v>529</v>
      </c>
      <c r="E45" s="4" t="s">
        <v>169</v>
      </c>
      <c r="F45" s="4" t="s">
        <v>8</v>
      </c>
      <c r="AR45" s="1" t="s">
        <v>502</v>
      </c>
      <c r="AS45" s="1" t="s">
        <v>537</v>
      </c>
      <c r="AT45" s="1" t="s">
        <v>502</v>
      </c>
      <c r="AU45" s="1" t="s">
        <v>502</v>
      </c>
      <c r="AV45" s="1" t="s">
        <v>502</v>
      </c>
      <c r="AW45" s="1" t="s">
        <v>221</v>
      </c>
      <c r="AX45" s="1" t="s">
        <v>586</v>
      </c>
      <c r="AY45" s="1" t="s">
        <v>221</v>
      </c>
      <c r="AZ45">
        <v>1914</v>
      </c>
      <c r="BA45">
        <v>2014</v>
      </c>
      <c r="BB45">
        <v>1914</v>
      </c>
      <c r="BC45">
        <v>1914</v>
      </c>
      <c r="BD45">
        <v>1814</v>
      </c>
      <c r="BE45">
        <v>2015</v>
      </c>
      <c r="BF45">
        <v>1817</v>
      </c>
      <c r="BG45">
        <v>1815</v>
      </c>
      <c r="BH45">
        <v>2013</v>
      </c>
      <c r="BI45">
        <v>2114</v>
      </c>
      <c r="BJ45">
        <v>2115</v>
      </c>
      <c r="BK45">
        <v>2913</v>
      </c>
      <c r="BL45">
        <v>1915</v>
      </c>
      <c r="BM45"/>
      <c r="BN45"/>
      <c r="BO45"/>
      <c r="BP45"/>
      <c r="BQ45"/>
      <c r="BR45"/>
      <c r="BS45"/>
      <c r="BT45"/>
      <c r="BU45"/>
      <c r="BV45"/>
      <c r="BW45"/>
      <c r="BX45"/>
      <c r="BY45"/>
    </row>
    <row r="46" spans="1:77" x14ac:dyDescent="0.2">
      <c r="A46"/>
      <c r="B46" s="1"/>
      <c r="C46" s="43" t="s">
        <v>525</v>
      </c>
      <c r="D46" t="s">
        <v>547</v>
      </c>
      <c r="E46" s="4" t="s">
        <v>169</v>
      </c>
      <c r="F46" t="s">
        <v>8</v>
      </c>
      <c r="AR46" s="1" t="s">
        <v>527</v>
      </c>
      <c r="AS46" s="52" t="s">
        <v>296</v>
      </c>
      <c r="AT46" s="1" t="s">
        <v>546</v>
      </c>
      <c r="AU46" s="1" t="s">
        <v>558</v>
      </c>
      <c r="AV46" s="1" t="s">
        <v>568</v>
      </c>
      <c r="AW46" s="1" t="s">
        <v>510</v>
      </c>
      <c r="AX46" s="1" t="s">
        <v>558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</row>
    <row r="47" spans="1:77" x14ac:dyDescent="0.2">
      <c r="A47"/>
      <c r="B47" s="1"/>
      <c r="C47" s="43" t="s">
        <v>526</v>
      </c>
      <c r="D47" t="s">
        <v>545</v>
      </c>
      <c r="E47" s="4" t="s">
        <v>169</v>
      </c>
      <c r="F47" s="4" t="s">
        <v>8</v>
      </c>
      <c r="AR47" s="1" t="s">
        <v>528</v>
      </c>
      <c r="AS47" s="52" t="s">
        <v>510</v>
      </c>
      <c r="AT47" s="1" t="s">
        <v>296</v>
      </c>
      <c r="AU47" s="1" t="s">
        <v>286</v>
      </c>
      <c r="AV47" s="1" t="s">
        <v>296</v>
      </c>
      <c r="AW47" s="1" t="s">
        <v>296</v>
      </c>
      <c r="AX47" s="1" t="s">
        <v>265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</row>
    <row r="48" spans="1:77" x14ac:dyDescent="0.2">
      <c r="A48"/>
      <c r="B48" s="1" t="s">
        <v>423</v>
      </c>
      <c r="C48" s="43" t="s">
        <v>540</v>
      </c>
      <c r="D48" t="s">
        <v>549</v>
      </c>
      <c r="E48" s="4" t="s">
        <v>15</v>
      </c>
      <c r="F48" t="s">
        <v>8</v>
      </c>
      <c r="AS48" s="1" t="s">
        <v>297</v>
      </c>
      <c r="AT48" s="1" t="s">
        <v>229</v>
      </c>
      <c r="AU48" s="1" t="s">
        <v>297</v>
      </c>
      <c r="AV48" s="1" t="s">
        <v>200</v>
      </c>
      <c r="AW48" s="1" t="s">
        <v>297</v>
      </c>
      <c r="AX48" s="1" t="s">
        <v>297</v>
      </c>
      <c r="AY48" s="1" t="s">
        <v>364</v>
      </c>
      <c r="AZ48">
        <v>2017</v>
      </c>
      <c r="BA48">
        <v>2216</v>
      </c>
      <c r="BB48">
        <v>2115</v>
      </c>
      <c r="BC48">
        <v>2116</v>
      </c>
      <c r="BD48">
        <v>2115</v>
      </c>
      <c r="BE48">
        <v>2116</v>
      </c>
      <c r="BF48">
        <v>2117</v>
      </c>
      <c r="BG48">
        <v>2216</v>
      </c>
      <c r="BH48">
        <v>2216</v>
      </c>
      <c r="BI48">
        <v>2215</v>
      </c>
      <c r="BJ48">
        <v>2215</v>
      </c>
      <c r="BK48">
        <v>2215</v>
      </c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</row>
    <row r="49" spans="1:77" x14ac:dyDescent="0.2">
      <c r="A49"/>
      <c r="B49" s="1"/>
      <c r="C49" s="43" t="s">
        <v>541</v>
      </c>
      <c r="D49" t="s">
        <v>563</v>
      </c>
      <c r="E49" s="4" t="s">
        <v>169</v>
      </c>
      <c r="F49" s="4" t="s">
        <v>8</v>
      </c>
      <c r="AS49" s="1" t="s">
        <v>453</v>
      </c>
      <c r="AT49" s="1" t="s">
        <v>341</v>
      </c>
      <c r="AU49" s="1" t="s">
        <v>387</v>
      </c>
      <c r="AV49" s="1" t="s">
        <v>387</v>
      </c>
      <c r="AW49" s="1" t="s">
        <v>539</v>
      </c>
      <c r="AX49" s="1" t="s">
        <v>587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</row>
    <row r="50" spans="1:77" x14ac:dyDescent="0.2">
      <c r="A50"/>
      <c r="B50" s="1"/>
      <c r="C50" s="43" t="s">
        <v>542</v>
      </c>
      <c r="D50" t="s">
        <v>554</v>
      </c>
      <c r="E50" s="4" t="s">
        <v>169</v>
      </c>
      <c r="F50" t="s">
        <v>8</v>
      </c>
      <c r="AS50" s="1" t="s">
        <v>539</v>
      </c>
      <c r="AT50" s="1" t="s">
        <v>449</v>
      </c>
      <c r="AU50" s="1" t="s">
        <v>562</v>
      </c>
      <c r="AV50" s="1" t="s">
        <v>569</v>
      </c>
      <c r="AW50" s="1" t="s">
        <v>578</v>
      </c>
      <c r="AX50" s="1" t="s">
        <v>449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</row>
    <row r="51" spans="1:77" x14ac:dyDescent="0.2">
      <c r="A51"/>
      <c r="B51" s="1"/>
      <c r="C51" s="43" t="s">
        <v>566</v>
      </c>
      <c r="D51" t="s">
        <v>567</v>
      </c>
      <c r="E51" s="4" t="s">
        <v>169</v>
      </c>
      <c r="F51" s="4" t="s">
        <v>8</v>
      </c>
      <c r="AU51" s="1" t="s">
        <v>290</v>
      </c>
      <c r="AV51" s="1" t="s">
        <v>290</v>
      </c>
      <c r="AW51" s="1" t="s">
        <v>574</v>
      </c>
      <c r="AX51" s="1" t="s">
        <v>401</v>
      </c>
      <c r="AY51" s="1" t="s">
        <v>555</v>
      </c>
      <c r="AZ51">
        <v>2816</v>
      </c>
      <c r="BA51">
        <v>2916</v>
      </c>
      <c r="BB51">
        <v>2715</v>
      </c>
      <c r="BC51">
        <v>2514</v>
      </c>
      <c r="BD51">
        <v>2612</v>
      </c>
      <c r="BE51">
        <v>2916</v>
      </c>
      <c r="BF51">
        <v>2816</v>
      </c>
      <c r="BG51">
        <v>2613</v>
      </c>
      <c r="BH51">
        <v>2614</v>
      </c>
      <c r="BI51">
        <v>2917</v>
      </c>
      <c r="BJ51">
        <v>2614</v>
      </c>
      <c r="BK51">
        <v>2614</v>
      </c>
      <c r="BL51">
        <v>2812</v>
      </c>
      <c r="BM51"/>
      <c r="BN51"/>
      <c r="BO51"/>
      <c r="BP51"/>
      <c r="BQ51"/>
      <c r="BR51"/>
      <c r="BS51"/>
      <c r="BT51"/>
      <c r="BU51"/>
      <c r="BV51"/>
      <c r="BW51"/>
      <c r="BX51"/>
      <c r="BY51"/>
    </row>
    <row r="52" spans="1:77" x14ac:dyDescent="0.2">
      <c r="A52"/>
      <c r="B52" s="1" t="s">
        <v>572</v>
      </c>
      <c r="C52" s="43" t="s">
        <v>571</v>
      </c>
      <c r="D52" t="s">
        <v>570</v>
      </c>
      <c r="E52" s="4" t="s">
        <v>9</v>
      </c>
      <c r="F52" t="s">
        <v>8</v>
      </c>
      <c r="AV52" s="1" t="s">
        <v>513</v>
      </c>
      <c r="AW52" s="1" t="s">
        <v>441</v>
      </c>
      <c r="AX52" s="1" t="s">
        <v>513</v>
      </c>
      <c r="AY52" s="1" t="s">
        <v>595</v>
      </c>
      <c r="AZ52"/>
      <c r="BA52"/>
      <c r="BB52"/>
      <c r="BC52"/>
      <c r="BD52"/>
      <c r="BE52"/>
      <c r="BF52"/>
      <c r="BG52"/>
      <c r="BH52"/>
      <c r="BI52"/>
      <c r="BJ52"/>
      <c r="BK52">
        <v>1707</v>
      </c>
      <c r="BL52">
        <v>1806</v>
      </c>
      <c r="BM52"/>
      <c r="BN52"/>
      <c r="BO52"/>
      <c r="BP52"/>
      <c r="BQ52"/>
      <c r="BR52"/>
      <c r="BS52"/>
      <c r="BT52"/>
      <c r="BU52"/>
      <c r="BV52"/>
      <c r="BW52"/>
      <c r="BX52"/>
      <c r="BY52"/>
    </row>
    <row r="53" spans="1:77" x14ac:dyDescent="0.2">
      <c r="A53"/>
      <c r="B53" s="1"/>
      <c r="C53" s="43" t="s">
        <v>590</v>
      </c>
      <c r="D53" t="s">
        <v>582</v>
      </c>
      <c r="E53" s="4" t="s">
        <v>169</v>
      </c>
      <c r="F53" s="4" t="s">
        <v>8</v>
      </c>
      <c r="AW53" s="1" t="s">
        <v>243</v>
      </c>
      <c r="AX53" s="1" t="s">
        <v>435</v>
      </c>
      <c r="AY53" s="1" t="s">
        <v>445</v>
      </c>
      <c r="AZ53">
        <v>2313</v>
      </c>
      <c r="BA53">
        <v>2113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</row>
    <row r="54" spans="1:77" x14ac:dyDescent="0.2">
      <c r="A54"/>
      <c r="B54" s="1" t="s">
        <v>592</v>
      </c>
      <c r="C54" s="43" t="s">
        <v>591</v>
      </c>
      <c r="D54" t="s">
        <v>593</v>
      </c>
      <c r="E54" s="4" t="s">
        <v>424</v>
      </c>
      <c r="F54" t="s">
        <v>8</v>
      </c>
      <c r="AX54" s="1" t="s">
        <v>537</v>
      </c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</row>
    <row r="55" spans="1:77" x14ac:dyDescent="0.2">
      <c r="A55"/>
      <c r="B55" s="1"/>
      <c r="C55" s="43" t="s">
        <v>597</v>
      </c>
      <c r="D55" t="s">
        <v>598</v>
      </c>
      <c r="E55" s="4" t="s">
        <v>169</v>
      </c>
      <c r="F55" s="4" t="s">
        <v>8</v>
      </c>
      <c r="AY55" s="1" t="s">
        <v>488</v>
      </c>
      <c r="AZ55">
        <v>-408</v>
      </c>
      <c r="BA55">
        <v>-408</v>
      </c>
      <c r="BB55">
        <v>-507</v>
      </c>
      <c r="BC55">
        <v>-608</v>
      </c>
      <c r="BD55">
        <v>-405</v>
      </c>
      <c r="BE55">
        <v>-407</v>
      </c>
      <c r="BF55">
        <v>-408</v>
      </c>
      <c r="BG55">
        <v>-408</v>
      </c>
      <c r="BH55">
        <v>-407</v>
      </c>
      <c r="BI55">
        <v>-407</v>
      </c>
      <c r="BJ55">
        <v>-408</v>
      </c>
      <c r="BK55">
        <v>-407</v>
      </c>
      <c r="BL55">
        <v>-408</v>
      </c>
      <c r="BM55">
        <v>-408</v>
      </c>
      <c r="BN55">
        <v>-408</v>
      </c>
      <c r="BO55">
        <v>-408</v>
      </c>
      <c r="BP55"/>
      <c r="BQ55"/>
      <c r="BR55"/>
      <c r="BS55"/>
      <c r="BT55"/>
      <c r="BU55"/>
      <c r="BV55"/>
      <c r="BW55"/>
      <c r="BX55"/>
      <c r="BY55"/>
    </row>
    <row r="56" spans="1:77" x14ac:dyDescent="0.2">
      <c r="A56"/>
      <c r="B56" s="1"/>
      <c r="C56" s="43" t="s">
        <v>599</v>
      </c>
      <c r="D56" t="s">
        <v>600</v>
      </c>
      <c r="E56" s="4" t="s">
        <v>605</v>
      </c>
      <c r="F56" t="s">
        <v>8</v>
      </c>
      <c r="AY56" s="1" t="s">
        <v>601</v>
      </c>
      <c r="AZ56">
        <v>1419</v>
      </c>
      <c r="BA56">
        <v>1419</v>
      </c>
      <c r="BB56">
        <v>1615</v>
      </c>
      <c r="BC56">
        <v>1615</v>
      </c>
      <c r="BD56">
        <v>1416</v>
      </c>
      <c r="BE56">
        <v>1615</v>
      </c>
      <c r="BF56">
        <v>1615</v>
      </c>
      <c r="BG56">
        <v>1412</v>
      </c>
      <c r="BH56">
        <v>1413</v>
      </c>
      <c r="BI56">
        <v>1412</v>
      </c>
      <c r="BJ56">
        <v>1313</v>
      </c>
      <c r="BK56">
        <v>1412</v>
      </c>
      <c r="BL56">
        <v>1313</v>
      </c>
      <c r="BM56"/>
      <c r="BN56"/>
      <c r="BO56"/>
      <c r="BP56"/>
      <c r="BQ56"/>
      <c r="BR56"/>
      <c r="BS56"/>
      <c r="BT56"/>
      <c r="BU56"/>
      <c r="BV56"/>
      <c r="BW56"/>
      <c r="BX56"/>
      <c r="BY56"/>
    </row>
    <row r="57" spans="1:77" x14ac:dyDescent="0.2">
      <c r="A57"/>
      <c r="B57" s="1"/>
      <c r="C57" s="43" t="s">
        <v>602</v>
      </c>
      <c r="D57" t="s">
        <v>604</v>
      </c>
      <c r="E57" s="4" t="s">
        <v>169</v>
      </c>
      <c r="F57" s="4" t="s">
        <v>8</v>
      </c>
      <c r="AY57" s="1" t="s">
        <v>222</v>
      </c>
      <c r="AZ57">
        <v>1008</v>
      </c>
      <c r="BA57"/>
      <c r="BB57">
        <v>909</v>
      </c>
      <c r="BC57">
        <v>708</v>
      </c>
      <c r="BD57">
        <v>807</v>
      </c>
      <c r="BE57">
        <v>711</v>
      </c>
      <c r="BF57">
        <v>808</v>
      </c>
      <c r="BG57">
        <v>1005</v>
      </c>
      <c r="BH57">
        <v>808</v>
      </c>
      <c r="BI57"/>
      <c r="BJ57"/>
      <c r="BK57">
        <v>909</v>
      </c>
      <c r="BL57"/>
      <c r="BM57"/>
      <c r="BN57">
        <v>707</v>
      </c>
      <c r="BO57"/>
      <c r="BP57"/>
      <c r="BQ57"/>
      <c r="BR57"/>
      <c r="BS57"/>
      <c r="BT57"/>
      <c r="BU57"/>
      <c r="BV57"/>
      <c r="BW57"/>
      <c r="BX57"/>
      <c r="BY57"/>
    </row>
    <row r="58" spans="1:77" x14ac:dyDescent="0.2">
      <c r="A58"/>
      <c r="B58" s="1"/>
      <c r="C58" s="43" t="s">
        <v>606</v>
      </c>
      <c r="D58" t="s">
        <v>603</v>
      </c>
      <c r="E58" s="4" t="s">
        <v>169</v>
      </c>
      <c r="F58" t="s">
        <v>8</v>
      </c>
      <c r="AY58" s="1" t="s">
        <v>250</v>
      </c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</row>
    <row r="59" spans="1:77" x14ac:dyDescent="0.2">
      <c r="A59"/>
      <c r="B59" s="1"/>
      <c r="C59" s="43" t="s">
        <v>607</v>
      </c>
      <c r="D59" t="s">
        <v>611</v>
      </c>
      <c r="E59" s="4" t="s">
        <v>169</v>
      </c>
      <c r="F59" s="4" t="s">
        <v>8</v>
      </c>
      <c r="AZ59">
        <v>3208</v>
      </c>
      <c r="BA59">
        <v>3208</v>
      </c>
      <c r="BB59">
        <v>3108</v>
      </c>
      <c r="BC59">
        <v>3208</v>
      </c>
      <c r="BD59">
        <v>3208</v>
      </c>
      <c r="BE59">
        <v>3208</v>
      </c>
      <c r="BF59">
        <v>3307</v>
      </c>
      <c r="BG59">
        <v>3208</v>
      </c>
      <c r="BH59">
        <v>3208</v>
      </c>
      <c r="BI59">
        <v>3108</v>
      </c>
      <c r="BJ59">
        <v>3008</v>
      </c>
      <c r="BK59">
        <v>2909</v>
      </c>
      <c r="BL59">
        <v>2908</v>
      </c>
      <c r="BM59">
        <v>3009</v>
      </c>
      <c r="BN59">
        <v>3108</v>
      </c>
      <c r="BO59">
        <v>3007</v>
      </c>
      <c r="BP59"/>
      <c r="BQ59"/>
      <c r="BR59"/>
      <c r="BS59"/>
      <c r="BT59"/>
      <c r="BU59"/>
      <c r="BV59"/>
      <c r="BW59"/>
      <c r="BX59"/>
      <c r="BY59"/>
    </row>
    <row r="60" spans="1:77" x14ac:dyDescent="0.2">
      <c r="A60"/>
      <c r="B60" s="1"/>
      <c r="C60" s="43" t="s">
        <v>608</v>
      </c>
      <c r="D60" t="s">
        <v>613</v>
      </c>
      <c r="E60" s="4" t="s">
        <v>169</v>
      </c>
      <c r="F60" s="4" t="s">
        <v>8</v>
      </c>
      <c r="AZ60">
        <v>805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</row>
    <row r="61" spans="1:77" x14ac:dyDescent="0.2">
      <c r="A61"/>
      <c r="B61" s="1" t="s">
        <v>614</v>
      </c>
      <c r="C61" s="43" t="s">
        <v>609</v>
      </c>
      <c r="D61" t="s">
        <v>612</v>
      </c>
      <c r="E61" s="4" t="s">
        <v>10</v>
      </c>
      <c r="F61" s="4" t="s">
        <v>8</v>
      </c>
      <c r="AZ61">
        <v>1506</v>
      </c>
      <c r="BA61">
        <v>1107</v>
      </c>
      <c r="BB61">
        <v>1404</v>
      </c>
      <c r="BC61">
        <v>1405</v>
      </c>
      <c r="BD61"/>
      <c r="BE61">
        <v>1505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</row>
    <row r="62" spans="1:77" x14ac:dyDescent="0.2">
      <c r="A62"/>
      <c r="B62" s="1"/>
      <c r="C62" s="43" t="s">
        <v>615</v>
      </c>
      <c r="D62" t="s">
        <v>618</v>
      </c>
      <c r="E62" s="4" t="s">
        <v>169</v>
      </c>
      <c r="F62" s="4" t="s">
        <v>8</v>
      </c>
      <c r="AZ62"/>
      <c r="BA62">
        <v>2309</v>
      </c>
      <c r="BB62">
        <v>2212</v>
      </c>
      <c r="BC62">
        <v>2212</v>
      </c>
      <c r="BD62">
        <v>2212</v>
      </c>
      <c r="BE62">
        <v>2112</v>
      </c>
      <c r="BF62">
        <v>2112</v>
      </c>
      <c r="BG62"/>
      <c r="BH62"/>
      <c r="BI62">
        <v>2309</v>
      </c>
      <c r="BJ62">
        <v>2010</v>
      </c>
      <c r="BK62">
        <v>2111</v>
      </c>
      <c r="BL62">
        <v>2110</v>
      </c>
      <c r="BM62">
        <v>2110</v>
      </c>
      <c r="BN62">
        <v>2110</v>
      </c>
      <c r="BO62">
        <v>2213</v>
      </c>
      <c r="BP62"/>
      <c r="BQ62"/>
      <c r="BR62"/>
      <c r="BS62"/>
      <c r="BT62"/>
      <c r="BU62"/>
      <c r="BV62"/>
      <c r="BW62"/>
      <c r="BX62"/>
      <c r="BY62"/>
    </row>
    <row r="63" spans="1:77" x14ac:dyDescent="0.2">
      <c r="A63"/>
      <c r="B63" s="1"/>
      <c r="C63" s="43" t="s">
        <v>616</v>
      </c>
      <c r="D63" t="s">
        <v>619</v>
      </c>
      <c r="E63" s="4" t="s">
        <v>169</v>
      </c>
      <c r="F63" s="4" t="s">
        <v>8</v>
      </c>
      <c r="AZ63"/>
      <c r="BA63">
        <v>1509</v>
      </c>
      <c r="BB63">
        <v>1611</v>
      </c>
      <c r="BC63">
        <v>1612</v>
      </c>
      <c r="BD63">
        <v>1710</v>
      </c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</row>
    <row r="64" spans="1:77" x14ac:dyDescent="0.2">
      <c r="A64"/>
      <c r="B64" s="1"/>
      <c r="C64" s="43" t="s">
        <v>617</v>
      </c>
      <c r="D64" t="s">
        <v>649</v>
      </c>
      <c r="E64" s="4" t="s">
        <v>169</v>
      </c>
      <c r="F64" s="4" t="s">
        <v>8</v>
      </c>
      <c r="AZ64"/>
      <c r="BA64">
        <v>410</v>
      </c>
      <c r="BB64">
        <v>608</v>
      </c>
      <c r="BC64"/>
      <c r="BD64"/>
      <c r="BF64"/>
      <c r="BG64"/>
      <c r="BH64">
        <v>409</v>
      </c>
      <c r="BI64">
        <v>213</v>
      </c>
      <c r="BJ64">
        <v>409</v>
      </c>
      <c r="BK64">
        <v>509</v>
      </c>
      <c r="BL64"/>
      <c r="BM64">
        <v>309</v>
      </c>
      <c r="BN64">
        <v>510</v>
      </c>
      <c r="BO64">
        <v>509</v>
      </c>
      <c r="BP64"/>
      <c r="BQ64"/>
      <c r="BR64"/>
      <c r="BS64"/>
      <c r="BT64"/>
      <c r="BU64"/>
      <c r="BV64"/>
      <c r="BW64"/>
      <c r="BX64"/>
      <c r="BY64"/>
    </row>
    <row r="65" spans="1:77" x14ac:dyDescent="0.2">
      <c r="A65"/>
      <c r="B65" s="1"/>
      <c r="C65" s="43" t="s">
        <v>620</v>
      </c>
      <c r="D65" t="s">
        <v>621</v>
      </c>
      <c r="E65" s="4" t="s">
        <v>169</v>
      </c>
      <c r="F65" s="4" t="s">
        <v>8</v>
      </c>
      <c r="AZ65"/>
      <c r="BA65"/>
      <c r="BB65">
        <v>1209</v>
      </c>
      <c r="BC65">
        <v>1209</v>
      </c>
      <c r="BD65">
        <v>1308</v>
      </c>
      <c r="BE65">
        <v>1307</v>
      </c>
      <c r="BF65">
        <v>1407</v>
      </c>
      <c r="BG65">
        <v>1207</v>
      </c>
      <c r="BH65">
        <v>1209</v>
      </c>
      <c r="BI65">
        <v>1307</v>
      </c>
      <c r="BJ65">
        <v>1206</v>
      </c>
      <c r="BK65">
        <v>1307</v>
      </c>
      <c r="BL65">
        <v>1307</v>
      </c>
      <c r="BM65">
        <v>1208</v>
      </c>
      <c r="BN65"/>
      <c r="BO65"/>
      <c r="BP65"/>
      <c r="BQ65"/>
      <c r="BR65"/>
      <c r="BS65"/>
      <c r="BT65"/>
      <c r="BU65"/>
      <c r="BV65"/>
      <c r="BW65"/>
      <c r="BX65"/>
      <c r="BY65"/>
    </row>
    <row r="66" spans="1:77" x14ac:dyDescent="0.2">
      <c r="A66"/>
      <c r="B66" s="1" t="s">
        <v>18</v>
      </c>
      <c r="C66" s="43" t="s">
        <v>622</v>
      </c>
      <c r="D66" t="s">
        <v>623</v>
      </c>
      <c r="E66" s="4" t="s">
        <v>10</v>
      </c>
      <c r="F66" s="4" t="s">
        <v>8</v>
      </c>
      <c r="AZ66"/>
      <c r="BA66"/>
      <c r="BB66">
        <v>2406</v>
      </c>
      <c r="BC66">
        <v>2207</v>
      </c>
      <c r="BD66">
        <v>2207</v>
      </c>
      <c r="BE66">
        <v>2406</v>
      </c>
      <c r="BF66">
        <v>2406</v>
      </c>
      <c r="BG66">
        <v>2005</v>
      </c>
      <c r="BH66">
        <v>2106</v>
      </c>
      <c r="BI66">
        <v>2407</v>
      </c>
      <c r="BJ66">
        <v>2306</v>
      </c>
      <c r="BK66">
        <v>2006</v>
      </c>
      <c r="BL66">
        <v>2206</v>
      </c>
      <c r="BM66">
        <v>2207</v>
      </c>
      <c r="BN66">
        <v>2106</v>
      </c>
      <c r="BO66"/>
      <c r="BP66"/>
      <c r="BQ66"/>
      <c r="BR66"/>
      <c r="BS66"/>
      <c r="BT66"/>
      <c r="BU66"/>
      <c r="BV66"/>
      <c r="BW66"/>
      <c r="BX66"/>
      <c r="BY66"/>
    </row>
    <row r="67" spans="1:77" x14ac:dyDescent="0.2">
      <c r="A67"/>
      <c r="B67" s="1"/>
      <c r="C67" s="43" t="s">
        <v>624</v>
      </c>
      <c r="D67" t="s">
        <v>625</v>
      </c>
      <c r="E67" s="4" t="s">
        <v>169</v>
      </c>
      <c r="F67" s="4" t="s">
        <v>8</v>
      </c>
      <c r="AZ67"/>
      <c r="BA67"/>
      <c r="BB67"/>
      <c r="BC67">
        <v>1805</v>
      </c>
      <c r="BD67"/>
      <c r="BE67">
        <v>1907</v>
      </c>
      <c r="BF67">
        <v>1807</v>
      </c>
      <c r="BG67">
        <v>1907</v>
      </c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</row>
    <row r="68" spans="1:77" x14ac:dyDescent="0.2">
      <c r="A68"/>
      <c r="B68" s="1"/>
      <c r="C68" s="43" t="s">
        <v>626</v>
      </c>
      <c r="D68" t="s">
        <v>627</v>
      </c>
      <c r="E68" s="4" t="s">
        <v>169</v>
      </c>
      <c r="F68" s="4" t="s">
        <v>8</v>
      </c>
      <c r="AZ68"/>
      <c r="BA68"/>
      <c r="BB68"/>
      <c r="BC68"/>
      <c r="BD68"/>
      <c r="BE68">
        <v>1612</v>
      </c>
      <c r="BF68">
        <v>1806</v>
      </c>
      <c r="BG68">
        <v>1612</v>
      </c>
      <c r="BH68">
        <v>1612</v>
      </c>
      <c r="BI68">
        <v>1610</v>
      </c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</row>
    <row r="69" spans="1:77" s="6" customFormat="1" x14ac:dyDescent="0.2">
      <c r="A69" s="9"/>
      <c r="B69" s="40" t="s">
        <v>630</v>
      </c>
      <c r="C69" s="23" t="s">
        <v>628</v>
      </c>
      <c r="D69" s="6" t="s">
        <v>636</v>
      </c>
      <c r="E69" s="5" t="s">
        <v>15</v>
      </c>
      <c r="F69" s="4" t="s">
        <v>8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1"/>
      <c r="AP69" s="40"/>
      <c r="AQ69" s="40"/>
      <c r="AR69" s="40"/>
      <c r="AS69" s="40"/>
      <c r="AT69" s="41"/>
      <c r="AU69" s="40"/>
      <c r="AV69" s="41"/>
      <c r="AW69" s="41"/>
      <c r="AX69" s="41"/>
      <c r="AY69" s="40"/>
      <c r="AZ69" s="3"/>
      <c r="BA69" s="3"/>
      <c r="BB69" s="3"/>
      <c r="BC69" s="3"/>
      <c r="BD69" s="5"/>
      <c r="BE69" s="3"/>
      <c r="BF69" s="5" t="s">
        <v>633</v>
      </c>
      <c r="BG69" s="5" t="s">
        <v>351</v>
      </c>
      <c r="BH69" s="5"/>
      <c r="BI69" s="3"/>
      <c r="BJ69" s="5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7" s="6" customFormat="1" x14ac:dyDescent="0.2">
      <c r="A70" s="9"/>
      <c r="B70" s="46" t="s">
        <v>631</v>
      </c>
      <c r="C70" s="3" t="s">
        <v>629</v>
      </c>
      <c r="D70" s="42" t="s">
        <v>635</v>
      </c>
      <c r="E70" s="5" t="s">
        <v>632</v>
      </c>
      <c r="F70" s="4" t="s">
        <v>8</v>
      </c>
      <c r="G70" s="40"/>
      <c r="H70" s="40"/>
      <c r="I70" s="40"/>
      <c r="J70" s="40"/>
      <c r="K70" s="40"/>
      <c r="L70" s="40"/>
      <c r="M70" s="40"/>
      <c r="N70" s="41"/>
      <c r="O70" s="40"/>
      <c r="P70" s="41"/>
      <c r="Q70" s="41"/>
      <c r="R70" s="41"/>
      <c r="S70" s="41"/>
      <c r="T70" s="41"/>
      <c r="U70" s="41"/>
      <c r="V70" s="41"/>
      <c r="W70" s="41"/>
      <c r="X70" s="41"/>
      <c r="Y70" s="40"/>
      <c r="Z70" s="41"/>
      <c r="AA70" s="41"/>
      <c r="AB70" s="41"/>
      <c r="AC70" s="40"/>
      <c r="AD70" s="41"/>
      <c r="AE70" s="40"/>
      <c r="AF70" s="40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0"/>
      <c r="AV70" s="41"/>
      <c r="AW70" s="41"/>
      <c r="AX70" s="41"/>
      <c r="AY70" s="40"/>
      <c r="AZ70" s="5"/>
      <c r="BA70" s="5"/>
      <c r="BB70" s="3"/>
      <c r="BC70" s="3"/>
      <c r="BD70" s="5"/>
      <c r="BE70" s="3"/>
      <c r="BF70" s="3" t="s">
        <v>634</v>
      </c>
      <c r="BG70" s="3" t="s">
        <v>637</v>
      </c>
      <c r="BH70" s="3" t="s">
        <v>498</v>
      </c>
      <c r="BI70" s="3" t="s">
        <v>648</v>
      </c>
      <c r="BJ70" s="3" t="s">
        <v>637</v>
      </c>
      <c r="BK70" s="3" t="s">
        <v>498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7" s="6" customFormat="1" x14ac:dyDescent="0.2">
      <c r="A71" s="9"/>
      <c r="B71" s="46"/>
      <c r="C71" s="23" t="s">
        <v>638</v>
      </c>
      <c r="D71" s="45" t="s">
        <v>643</v>
      </c>
      <c r="E71" s="4" t="s">
        <v>169</v>
      </c>
      <c r="F71" s="5" t="s">
        <v>8</v>
      </c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1"/>
      <c r="AA71" s="41"/>
      <c r="AB71" s="41"/>
      <c r="AC71" s="41"/>
      <c r="AD71" s="41"/>
      <c r="AE71" s="40"/>
      <c r="AF71" s="40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0"/>
      <c r="AV71" s="41"/>
      <c r="AW71" s="41"/>
      <c r="AX71" s="41"/>
      <c r="AY71" s="40"/>
      <c r="AZ71" s="5"/>
      <c r="BA71" s="5"/>
      <c r="BB71" s="3"/>
      <c r="BC71" s="5"/>
      <c r="BD71" s="5"/>
      <c r="BE71" s="5"/>
      <c r="BF71" s="5"/>
      <c r="BG71" s="5"/>
      <c r="BH71" s="5" t="s">
        <v>449</v>
      </c>
      <c r="BI71" s="3" t="s">
        <v>379</v>
      </c>
      <c r="BJ71" s="5" t="s">
        <v>379</v>
      </c>
      <c r="BK71" s="3" t="s">
        <v>387</v>
      </c>
      <c r="BL71" s="3" t="s">
        <v>389</v>
      </c>
      <c r="BM71" s="3" t="s">
        <v>389</v>
      </c>
      <c r="BN71" s="3" t="s">
        <v>409</v>
      </c>
      <c r="BO71" s="3" t="s">
        <v>449</v>
      </c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7" s="6" customFormat="1" ht="13.5" customHeight="1" x14ac:dyDescent="0.2">
      <c r="A72" s="9"/>
      <c r="B72" s="46"/>
      <c r="C72" s="23" t="s">
        <v>639</v>
      </c>
      <c r="D72" s="43" t="s">
        <v>641</v>
      </c>
      <c r="E72" s="4" t="s">
        <v>169</v>
      </c>
      <c r="F72" s="5" t="s">
        <v>8</v>
      </c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1"/>
      <c r="AR72" s="41"/>
      <c r="AS72" s="40"/>
      <c r="AT72" s="40"/>
      <c r="AU72" s="40"/>
      <c r="AV72" s="40"/>
      <c r="AW72" s="41"/>
      <c r="AX72" s="40"/>
      <c r="AY72" s="40"/>
      <c r="AZ72" s="3"/>
      <c r="BA72" s="5"/>
      <c r="BB72" s="3"/>
      <c r="BC72" s="3"/>
      <c r="BD72" s="3"/>
      <c r="BE72" s="3"/>
      <c r="BF72" s="5"/>
      <c r="BG72" s="3" t="s">
        <v>642</v>
      </c>
      <c r="BH72" s="3" t="s">
        <v>646</v>
      </c>
      <c r="BI72" s="3" t="s">
        <v>646</v>
      </c>
      <c r="BJ72" s="3" t="s">
        <v>334</v>
      </c>
      <c r="BK72" s="3" t="s">
        <v>406</v>
      </c>
      <c r="BL72" s="3" t="s">
        <v>647</v>
      </c>
      <c r="BM72" s="3" t="s">
        <v>647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7" s="6" customFormat="1" x14ac:dyDescent="0.2">
      <c r="A73" s="9"/>
      <c r="B73" s="46"/>
      <c r="C73" s="23" t="s">
        <v>640</v>
      </c>
      <c r="D73" s="9" t="s">
        <v>645</v>
      </c>
      <c r="E73" s="4" t="s">
        <v>169</v>
      </c>
      <c r="F73" s="5" t="s">
        <v>8</v>
      </c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1"/>
      <c r="V73" s="40"/>
      <c r="W73" s="41"/>
      <c r="X73" s="40"/>
      <c r="Y73" s="40"/>
      <c r="Z73" s="41"/>
      <c r="AA73" s="41"/>
      <c r="AB73" s="41"/>
      <c r="AC73" s="40"/>
      <c r="AD73" s="41"/>
      <c r="AE73" s="41"/>
      <c r="AF73" s="40"/>
      <c r="AG73" s="41"/>
      <c r="AH73" s="41"/>
      <c r="AI73" s="41"/>
      <c r="AJ73" s="22"/>
      <c r="AK73" s="41"/>
      <c r="AL73" s="41"/>
      <c r="AM73" s="41"/>
      <c r="AN73" s="41"/>
      <c r="AO73" s="41"/>
      <c r="AP73" s="41"/>
      <c r="AQ73" s="40"/>
      <c r="AR73" s="41"/>
      <c r="AS73" s="40"/>
      <c r="AT73" s="41"/>
      <c r="AU73" s="40"/>
      <c r="AV73" s="41"/>
      <c r="AW73" s="41"/>
      <c r="AX73" s="40"/>
      <c r="AY73" s="40"/>
      <c r="AZ73" s="3"/>
      <c r="BA73" s="3"/>
      <c r="BB73" s="3"/>
      <c r="BC73" s="3"/>
      <c r="BD73" s="3"/>
      <c r="BE73" s="3"/>
      <c r="BF73" s="3"/>
      <c r="BG73" s="3" t="s">
        <v>644</v>
      </c>
      <c r="BH73" s="3" t="s">
        <v>644</v>
      </c>
      <c r="BI73" s="3" t="s">
        <v>644</v>
      </c>
      <c r="BJ73" s="3" t="s">
        <v>647</v>
      </c>
      <c r="BK73" s="3" t="s">
        <v>647</v>
      </c>
      <c r="BL73" s="3" t="s">
        <v>503</v>
      </c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7" s="6" customFormat="1" x14ac:dyDescent="0.2">
      <c r="A74" s="9"/>
      <c r="B74" s="46"/>
      <c r="C74" s="23" t="s">
        <v>650</v>
      </c>
      <c r="D74" s="45" t="s">
        <v>653</v>
      </c>
      <c r="E74" s="4" t="s">
        <v>169</v>
      </c>
      <c r="F74" s="23" t="s">
        <v>8</v>
      </c>
      <c r="G74" s="40"/>
      <c r="H74" s="40"/>
      <c r="I74" s="40"/>
      <c r="J74" s="40"/>
      <c r="K74" s="40"/>
      <c r="L74" s="40"/>
      <c r="M74" s="41"/>
      <c r="N74" s="40"/>
      <c r="O74" s="40"/>
      <c r="P74" s="40"/>
      <c r="Q74" s="40"/>
      <c r="R74" s="41"/>
      <c r="S74" s="41"/>
      <c r="T74" s="41"/>
      <c r="U74" s="41"/>
      <c r="V74" s="40"/>
      <c r="W74" s="41"/>
      <c r="X74" s="41"/>
      <c r="Y74" s="40"/>
      <c r="Z74" s="41"/>
      <c r="AA74" s="41"/>
      <c r="AB74" s="40"/>
      <c r="AC74" s="41"/>
      <c r="AD74" s="40"/>
      <c r="AE74" s="40"/>
      <c r="AF74" s="40"/>
      <c r="AG74" s="40"/>
      <c r="AH74" s="41"/>
      <c r="AI74" s="41"/>
      <c r="AJ74" s="40"/>
      <c r="AK74" s="40"/>
      <c r="AL74" s="40"/>
      <c r="AM74" s="41"/>
      <c r="AN74" s="41"/>
      <c r="AO74" s="41"/>
      <c r="AP74" s="41"/>
      <c r="AQ74" s="40"/>
      <c r="AR74" s="41"/>
      <c r="AS74" s="41"/>
      <c r="AT74" s="41"/>
      <c r="AU74" s="40"/>
      <c r="AV74" s="40"/>
      <c r="AW74" s="40"/>
      <c r="AX74" s="40"/>
      <c r="AY74" s="40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 t="s">
        <v>654</v>
      </c>
      <c r="BL74" s="3" t="s">
        <v>203</v>
      </c>
      <c r="BM74" s="3" t="s">
        <v>655</v>
      </c>
      <c r="BN74" s="3" t="s">
        <v>467</v>
      </c>
      <c r="BO74" s="3" t="s">
        <v>577</v>
      </c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7" s="6" customFormat="1" x14ac:dyDescent="0.2">
      <c r="A75" s="9"/>
      <c r="B75" s="40"/>
      <c r="C75" s="46" t="s">
        <v>651</v>
      </c>
      <c r="D75" s="45" t="s">
        <v>652</v>
      </c>
      <c r="E75" s="4" t="s">
        <v>169</v>
      </c>
      <c r="F75" s="5" t="s">
        <v>8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1"/>
      <c r="AR75" s="41"/>
      <c r="AS75" s="40"/>
      <c r="AT75" s="41"/>
      <c r="AU75" s="40"/>
      <c r="AV75" s="41"/>
      <c r="AW75" s="41"/>
      <c r="AX75" s="40"/>
      <c r="AY75" s="40"/>
      <c r="AZ75" s="3"/>
      <c r="BA75" s="5"/>
      <c r="BB75" s="3"/>
      <c r="BC75" s="3"/>
      <c r="BD75" s="3"/>
      <c r="BE75" s="5"/>
      <c r="BF75" s="3"/>
      <c r="BG75" s="3"/>
      <c r="BH75" s="3"/>
      <c r="BI75" s="3"/>
      <c r="BJ75" s="3"/>
      <c r="BK75" s="3" t="s">
        <v>386</v>
      </c>
      <c r="BL75" s="3" t="s">
        <v>217</v>
      </c>
      <c r="BM75" s="3" t="s">
        <v>356</v>
      </c>
      <c r="BN75" s="3"/>
      <c r="BO75" s="3" t="s">
        <v>425</v>
      </c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7" s="6" customFormat="1" x14ac:dyDescent="0.2">
      <c r="A76" s="9"/>
      <c r="B76" s="41"/>
      <c r="C76" s="46" t="s">
        <v>656</v>
      </c>
      <c r="D76" s="45" t="s">
        <v>657</v>
      </c>
      <c r="E76" s="4" t="s">
        <v>169</v>
      </c>
      <c r="F76" s="5" t="s">
        <v>8</v>
      </c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1"/>
      <c r="S76" s="41"/>
      <c r="T76" s="40"/>
      <c r="U76" s="41"/>
      <c r="V76" s="40"/>
      <c r="W76" s="41"/>
      <c r="X76" s="40"/>
      <c r="Y76" s="40"/>
      <c r="Z76" s="41"/>
      <c r="AA76" s="40"/>
      <c r="AB76" s="40"/>
      <c r="AC76" s="41"/>
      <c r="AD76" s="40"/>
      <c r="AE76" s="41"/>
      <c r="AF76" s="40"/>
      <c r="AG76" s="40"/>
      <c r="AH76" s="41"/>
      <c r="AI76" s="41"/>
      <c r="AJ76" s="40"/>
      <c r="AK76" s="41"/>
      <c r="AL76" s="41"/>
      <c r="AM76" s="41"/>
      <c r="AN76" s="41"/>
      <c r="AO76" s="41"/>
      <c r="AP76" s="41"/>
      <c r="AQ76" s="40"/>
      <c r="AR76" s="41"/>
      <c r="AS76" s="41"/>
      <c r="AT76" s="41"/>
      <c r="AU76" s="40"/>
      <c r="AV76" s="41"/>
      <c r="AW76" s="41"/>
      <c r="AX76" s="41"/>
      <c r="AY76" s="40"/>
      <c r="AZ76" s="3"/>
      <c r="BA76" s="3"/>
      <c r="BB76" s="3"/>
      <c r="BC76" s="5"/>
      <c r="BD76" s="5"/>
      <c r="BE76" s="5"/>
      <c r="BF76" s="5"/>
      <c r="BG76" s="3"/>
      <c r="BH76" s="5"/>
      <c r="BI76" s="3"/>
      <c r="BJ76" s="3"/>
      <c r="BK76" s="3"/>
      <c r="BL76" s="3"/>
      <c r="BM76" s="3" t="s">
        <v>287</v>
      </c>
      <c r="BN76" s="3" t="s">
        <v>305</v>
      </c>
      <c r="BO76" s="3" t="s">
        <v>660</v>
      </c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7" s="6" customFormat="1" x14ac:dyDescent="0.2">
      <c r="A77" s="9"/>
      <c r="B77" s="40"/>
      <c r="C77" s="46" t="s">
        <v>658</v>
      </c>
      <c r="D77" s="7"/>
      <c r="E77" s="5"/>
      <c r="F77" s="5"/>
      <c r="G77" s="40"/>
      <c r="H77" s="40"/>
      <c r="I77" s="40"/>
      <c r="J77" s="40"/>
      <c r="K77" s="40"/>
      <c r="L77" s="40"/>
      <c r="M77" s="41"/>
      <c r="N77" s="40"/>
      <c r="O77" s="40"/>
      <c r="P77" s="40"/>
      <c r="Q77" s="40"/>
      <c r="R77" s="40"/>
      <c r="S77" s="40"/>
      <c r="T77" s="41"/>
      <c r="U77" s="40"/>
      <c r="V77" s="40"/>
      <c r="W77" s="41"/>
      <c r="X77" s="41"/>
      <c r="Y77" s="41"/>
      <c r="Z77" s="40"/>
      <c r="AA77" s="41"/>
      <c r="AB77" s="40"/>
      <c r="AC77" s="40"/>
      <c r="AD77" s="40"/>
      <c r="AE77" s="41"/>
      <c r="AF77" s="40"/>
      <c r="AG77" s="40"/>
      <c r="AH77" s="41"/>
      <c r="AI77" s="41"/>
      <c r="AJ77" s="40"/>
      <c r="AK77" s="41"/>
      <c r="AL77" s="41"/>
      <c r="AM77" s="41"/>
      <c r="AN77" s="41"/>
      <c r="AO77" s="40"/>
      <c r="AP77" s="41"/>
      <c r="AQ77" s="40"/>
      <c r="AR77" s="40"/>
      <c r="AS77" s="40"/>
      <c r="AT77" s="41"/>
      <c r="AU77" s="40"/>
      <c r="AV77" s="41"/>
      <c r="AW77" s="40"/>
      <c r="AX77" s="40"/>
      <c r="AY77" s="40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 t="s">
        <v>659</v>
      </c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7" s="6" customFormat="1" x14ac:dyDescent="0.2">
      <c r="A78" s="9"/>
      <c r="B78" s="40"/>
      <c r="C78" s="45"/>
      <c r="D78" s="7"/>
      <c r="E78" s="5"/>
      <c r="F78" s="5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1"/>
      <c r="R78" s="41"/>
      <c r="S78" s="41"/>
      <c r="T78" s="41"/>
      <c r="U78" s="41"/>
      <c r="V78" s="41"/>
      <c r="W78" s="41"/>
      <c r="X78" s="41"/>
      <c r="Y78" s="40"/>
      <c r="Z78" s="41"/>
      <c r="AA78" s="41"/>
      <c r="AB78" s="41"/>
      <c r="AC78" s="40"/>
      <c r="AD78" s="41"/>
      <c r="AE78" s="41"/>
      <c r="AF78" s="40"/>
      <c r="AG78" s="40"/>
      <c r="AH78" s="41"/>
      <c r="AI78" s="41"/>
      <c r="AJ78" s="40"/>
      <c r="AK78" s="41"/>
      <c r="AL78" s="41"/>
      <c r="AM78" s="40"/>
      <c r="AN78" s="41"/>
      <c r="AO78" s="41"/>
      <c r="AP78" s="41"/>
      <c r="AQ78" s="41"/>
      <c r="AR78" s="41"/>
      <c r="AS78" s="41"/>
      <c r="AT78" s="41"/>
      <c r="AU78" s="40"/>
      <c r="AV78" s="41"/>
      <c r="AW78" s="41"/>
      <c r="AX78" s="41"/>
      <c r="AY78" s="41"/>
      <c r="AZ78" s="5"/>
      <c r="BA78" s="5"/>
      <c r="BB78" s="3"/>
      <c r="BC78" s="3"/>
      <c r="BD78" s="5"/>
      <c r="BE78" s="3"/>
      <c r="BF78" s="5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7" s="6" customFormat="1" x14ac:dyDescent="0.2">
      <c r="A79" s="9"/>
      <c r="B79" s="40"/>
      <c r="C79" s="7"/>
      <c r="D79" s="7"/>
      <c r="E79" s="5"/>
      <c r="F79" s="5"/>
      <c r="G79" s="40"/>
      <c r="H79" s="40"/>
      <c r="I79" s="40"/>
      <c r="J79" s="40"/>
      <c r="K79" s="40"/>
      <c r="L79" s="40"/>
      <c r="M79" s="40"/>
      <c r="N79" s="40"/>
      <c r="O79" s="40"/>
      <c r="P79" s="41"/>
      <c r="Q79" s="40"/>
      <c r="R79" s="41"/>
      <c r="S79" s="40"/>
      <c r="T79" s="41"/>
      <c r="U79" s="41"/>
      <c r="V79" s="41"/>
      <c r="W79" s="41"/>
      <c r="X79" s="41"/>
      <c r="Y79" s="40"/>
      <c r="Z79" s="41"/>
      <c r="AA79" s="41"/>
      <c r="AB79" s="40"/>
      <c r="AC79" s="40"/>
      <c r="AD79" s="40"/>
      <c r="AE79" s="40"/>
      <c r="AF79" s="40"/>
      <c r="AG79" s="40"/>
      <c r="AH79" s="41"/>
      <c r="AI79" s="41"/>
      <c r="AJ79" s="40"/>
      <c r="AK79" s="40"/>
      <c r="AL79" s="40"/>
      <c r="AM79" s="40"/>
      <c r="AN79" s="41"/>
      <c r="AO79" s="40"/>
      <c r="AP79" s="40"/>
      <c r="AQ79" s="40"/>
      <c r="AR79" s="41"/>
      <c r="AS79" s="41"/>
      <c r="AT79" s="41"/>
      <c r="AU79" s="40"/>
      <c r="AV79" s="40"/>
      <c r="AW79" s="40"/>
      <c r="AX79" s="40"/>
      <c r="AY79" s="40"/>
      <c r="AZ79" s="3"/>
      <c r="BA79" s="3"/>
      <c r="BB79" s="3"/>
      <c r="BC79" s="3"/>
      <c r="BD79" s="5"/>
      <c r="BE79" s="5"/>
      <c r="BF79" s="5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7" s="6" customFormat="1" x14ac:dyDescent="0.2">
      <c r="A80" s="9"/>
      <c r="B80" s="40"/>
      <c r="C80" s="7"/>
      <c r="D80" s="7"/>
      <c r="E80" s="5"/>
      <c r="F80" s="5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1"/>
      <c r="AA80" s="40"/>
      <c r="AB80" s="40"/>
      <c r="AC80" s="40"/>
      <c r="AD80" s="40"/>
      <c r="AE80" s="40"/>
      <c r="AF80" s="40"/>
      <c r="AG80" s="40"/>
      <c r="AH80" s="41"/>
      <c r="AI80" s="40"/>
      <c r="AJ80" s="40"/>
      <c r="AK80" s="40"/>
      <c r="AL80" s="40"/>
      <c r="AM80" s="40"/>
      <c r="AN80" s="40"/>
      <c r="AO80" s="41"/>
      <c r="AP80" s="41"/>
      <c r="AQ80" s="40"/>
      <c r="AR80" s="41"/>
      <c r="AS80" s="40"/>
      <c r="AT80" s="40"/>
      <c r="AU80" s="40"/>
      <c r="AV80" s="40"/>
      <c r="AW80" s="40"/>
      <c r="AX80" s="40"/>
      <c r="AY80" s="40"/>
      <c r="AZ80" s="5"/>
      <c r="BA80" s="3"/>
      <c r="BB80" s="3"/>
      <c r="BC80" s="3"/>
      <c r="BD80" s="3"/>
      <c r="BE80" s="5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s="6" customFormat="1" x14ac:dyDescent="0.2">
      <c r="A81" s="9"/>
      <c r="B81" s="40"/>
      <c r="C81" s="9"/>
      <c r="D81" s="7"/>
      <c r="E81" s="5"/>
      <c r="F81" s="5"/>
      <c r="G81" s="40"/>
      <c r="H81" s="40"/>
      <c r="I81" s="40"/>
      <c r="J81" s="41"/>
      <c r="K81" s="40"/>
      <c r="L81" s="40"/>
      <c r="M81" s="40"/>
      <c r="N81" s="44"/>
      <c r="O81" s="40"/>
      <c r="P81" s="41"/>
      <c r="Q81" s="41"/>
      <c r="R81" s="41"/>
      <c r="S81" s="41"/>
      <c r="T81" s="41"/>
      <c r="U81" s="41"/>
      <c r="V81" s="41"/>
      <c r="W81" s="41"/>
      <c r="X81" s="40"/>
      <c r="Y81" s="40"/>
      <c r="Z81" s="41"/>
      <c r="AA81" s="41"/>
      <c r="AB81" s="41"/>
      <c r="AC81" s="40"/>
      <c r="AD81" s="41"/>
      <c r="AE81" s="40"/>
      <c r="AF81" s="40"/>
      <c r="AG81" s="41"/>
      <c r="AH81" s="41"/>
      <c r="AI81" s="41"/>
      <c r="AJ81" s="41"/>
      <c r="AK81" s="41"/>
      <c r="AL81" s="41"/>
      <c r="AM81" s="41"/>
      <c r="AN81" s="40"/>
      <c r="AO81" s="40"/>
      <c r="AP81" s="40"/>
      <c r="AQ81" s="41"/>
      <c r="AR81" s="41"/>
      <c r="AS81" s="41"/>
      <c r="AT81" s="41"/>
      <c r="AU81" s="40"/>
      <c r="AV81" s="40"/>
      <c r="AW81" s="40"/>
      <c r="AX81" s="40"/>
      <c r="AY81" s="40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s="6" customFormat="1" x14ac:dyDescent="0.2">
      <c r="A82" s="9"/>
      <c r="B82" s="40"/>
      <c r="C82" s="7"/>
      <c r="D82" s="7"/>
      <c r="E82" s="5"/>
      <c r="F82" s="5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1"/>
      <c r="AR82" s="41"/>
      <c r="AS82" s="40"/>
      <c r="AT82" s="41"/>
      <c r="AU82" s="40"/>
      <c r="AV82" s="41"/>
      <c r="AW82" s="41"/>
      <c r="AX82" s="40"/>
      <c r="AY82" s="40"/>
      <c r="AZ82" s="3"/>
      <c r="BA82" s="5"/>
      <c r="BB82" s="3"/>
      <c r="BC82" s="3"/>
      <c r="BD82" s="3"/>
      <c r="BE82" s="5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s="6" customFormat="1" x14ac:dyDescent="0.2">
      <c r="A83" s="9"/>
      <c r="B83" s="40"/>
      <c r="C83" s="7"/>
      <c r="D83" s="7"/>
      <c r="E83" s="5"/>
      <c r="F83" s="5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1"/>
      <c r="AS83" s="40"/>
      <c r="AT83" s="41"/>
      <c r="AU83" s="40"/>
      <c r="AV83" s="40"/>
      <c r="AW83" s="41"/>
      <c r="AX83" s="41"/>
      <c r="AY83" s="40"/>
      <c r="AZ83" s="3"/>
      <c r="BA83" s="5"/>
      <c r="BB83" s="3"/>
      <c r="BC83" s="5"/>
      <c r="BD83" s="3"/>
      <c r="BE83" s="5"/>
      <c r="BF83" s="3"/>
      <c r="BG83" s="5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s="6" customFormat="1" x14ac:dyDescent="0.2">
      <c r="A84" s="9"/>
      <c r="B84" s="41"/>
      <c r="C84" s="7"/>
      <c r="D84" s="7"/>
      <c r="E84" s="5"/>
      <c r="F84" s="5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1"/>
      <c r="AA84" s="40"/>
      <c r="AB84" s="41"/>
      <c r="AC84" s="40"/>
      <c r="AD84" s="41"/>
      <c r="AE84" s="40"/>
      <c r="AF84" s="40"/>
      <c r="AG84" s="41"/>
      <c r="AH84" s="41"/>
      <c r="AI84" s="40"/>
      <c r="AJ84" s="41"/>
      <c r="AK84" s="41"/>
      <c r="AL84" s="41"/>
      <c r="AM84" s="41"/>
      <c r="AN84" s="40"/>
      <c r="AO84" s="41"/>
      <c r="AP84" s="41"/>
      <c r="AQ84" s="41"/>
      <c r="AR84" s="41"/>
      <c r="AS84" s="41"/>
      <c r="AT84" s="41"/>
      <c r="AU84" s="40"/>
      <c r="AV84" s="41"/>
      <c r="AW84" s="41"/>
      <c r="AX84" s="40"/>
      <c r="AY84" s="41"/>
      <c r="AZ84" s="5"/>
      <c r="BA84" s="5"/>
      <c r="BB84" s="3"/>
      <c r="BC84" s="3"/>
      <c r="BD84" s="5"/>
      <c r="BE84" s="3"/>
      <c r="BF84" s="5"/>
      <c r="BG84" s="3"/>
      <c r="BH84" s="3"/>
      <c r="BI84" s="3"/>
      <c r="BJ84" s="5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s="6" customFormat="1" x14ac:dyDescent="0.2">
      <c r="A85" s="9"/>
      <c r="B85" s="40"/>
      <c r="C85" s="7"/>
      <c r="D85" s="7"/>
      <c r="E85" s="5"/>
      <c r="F85" s="5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1"/>
      <c r="V85" s="40"/>
      <c r="W85" s="40"/>
      <c r="X85" s="40"/>
      <c r="Y85" s="40"/>
      <c r="Z85" s="40"/>
      <c r="AA85" s="41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1"/>
      <c r="AS85" s="40"/>
      <c r="AT85" s="40"/>
      <c r="AU85" s="40"/>
      <c r="AV85" s="40"/>
      <c r="AW85" s="40"/>
      <c r="AX85" s="40"/>
      <c r="AY85" s="40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s="6" customFormat="1" x14ac:dyDescent="0.2">
      <c r="A86" s="9"/>
      <c r="B86" s="41"/>
      <c r="C86" s="7"/>
      <c r="D86" s="7"/>
      <c r="E86" s="5"/>
      <c r="F86" s="5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1"/>
      <c r="AQ86" s="40"/>
      <c r="AR86" s="40"/>
      <c r="AS86" s="40"/>
      <c r="AT86" s="40"/>
      <c r="AU86" s="40"/>
      <c r="AV86" s="40"/>
      <c r="AW86" s="40"/>
      <c r="AX86" s="41"/>
      <c r="AY86" s="40"/>
      <c r="AZ86" s="3"/>
      <c r="BA86" s="3"/>
      <c r="BB86" s="3"/>
      <c r="BC86" s="3"/>
      <c r="BD86" s="3"/>
      <c r="BE86" s="5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s="6" customFormat="1" x14ac:dyDescent="0.2">
      <c r="A87" s="9"/>
      <c r="B87" s="41"/>
      <c r="C87" s="7"/>
      <c r="D87" s="7"/>
      <c r="E87" s="5"/>
      <c r="F87" s="5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1"/>
      <c r="AQ87" s="41"/>
      <c r="AR87" s="40"/>
      <c r="AS87" s="40"/>
      <c r="AT87" s="41"/>
      <c r="AU87" s="40"/>
      <c r="AV87" s="41"/>
      <c r="AW87" s="40"/>
      <c r="AX87" s="41"/>
      <c r="AY87" s="40"/>
      <c r="AZ87" s="3"/>
      <c r="BA87" s="3"/>
      <c r="BB87" s="3"/>
      <c r="BC87" s="3"/>
      <c r="BD87" s="3"/>
      <c r="BE87" s="5"/>
      <c r="BF87" s="5"/>
      <c r="BG87" s="3"/>
      <c r="BH87" s="5"/>
      <c r="BI87" s="3"/>
      <c r="BJ87" s="5"/>
      <c r="BK87" s="3"/>
      <c r="BL87" s="5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s="6" customFormat="1" x14ac:dyDescent="0.2">
      <c r="A88" s="9"/>
      <c r="B88" s="41"/>
      <c r="C88" s="7"/>
      <c r="D88" s="5"/>
      <c r="E88" s="5"/>
      <c r="F88" s="5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1"/>
      <c r="AM88" s="41"/>
      <c r="AN88" s="41"/>
      <c r="AO88" s="41"/>
      <c r="AP88" s="41"/>
      <c r="AQ88" s="40"/>
      <c r="AR88" s="41"/>
      <c r="AS88" s="41"/>
      <c r="AT88" s="41"/>
      <c r="AU88" s="40"/>
      <c r="AV88" s="41"/>
      <c r="AW88" s="40"/>
      <c r="AX88" s="41"/>
      <c r="AY88" s="40"/>
      <c r="AZ88" s="3"/>
      <c r="BA88" s="5"/>
      <c r="BB88" s="5"/>
      <c r="BC88" s="5"/>
      <c r="BD88" s="5"/>
      <c r="BE88" s="5"/>
      <c r="BF88" s="5"/>
      <c r="BG88" s="5"/>
      <c r="BH88" s="3"/>
      <c r="BI88" s="3"/>
      <c r="BJ88" s="5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s="6" customFormat="1" x14ac:dyDescent="0.2">
      <c r="A89" s="9"/>
      <c r="B89" s="41"/>
      <c r="C89" s="7"/>
      <c r="D89" s="7"/>
      <c r="E89" s="5"/>
      <c r="F89" s="5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1"/>
      <c r="S89" s="41"/>
      <c r="T89" s="40"/>
      <c r="U89" s="40"/>
      <c r="V89" s="40"/>
      <c r="W89" s="41"/>
      <c r="X89" s="40"/>
      <c r="Y89" s="40"/>
      <c r="Z89" s="40"/>
      <c r="AA89" s="41"/>
      <c r="AB89" s="41"/>
      <c r="AC89" s="40"/>
      <c r="AD89" s="41"/>
      <c r="AE89" s="40"/>
      <c r="AF89" s="40"/>
      <c r="AG89" s="40"/>
      <c r="AH89" s="40"/>
      <c r="AI89" s="40"/>
      <c r="AJ89" s="40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0"/>
      <c r="AV89" s="41"/>
      <c r="AW89" s="41"/>
      <c r="AX89" s="41"/>
      <c r="AY89" s="41"/>
      <c r="AZ89" s="5"/>
      <c r="BA89" s="5"/>
      <c r="BB89" s="3"/>
      <c r="BC89" s="5"/>
      <c r="BD89" s="5"/>
      <c r="BE89" s="5"/>
      <c r="BF89" s="5"/>
      <c r="BG89" s="5"/>
      <c r="BH89" s="5"/>
      <c r="BI89" s="3"/>
      <c r="BJ89" s="5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s="6" customFormat="1" x14ac:dyDescent="0.2">
      <c r="A90" s="9"/>
      <c r="B90" s="41"/>
      <c r="C90" s="7"/>
      <c r="D90" s="7"/>
      <c r="E90" s="5"/>
      <c r="F90" s="5"/>
      <c r="G90" s="40"/>
      <c r="H90" s="40"/>
      <c r="I90" s="40"/>
      <c r="J90" s="41"/>
      <c r="K90" s="40"/>
      <c r="L90" s="40"/>
      <c r="M90" s="41"/>
      <c r="N90" s="41"/>
      <c r="O90" s="40"/>
      <c r="P90" s="40"/>
      <c r="Q90" s="41"/>
      <c r="R90" s="41"/>
      <c r="S90" s="41"/>
      <c r="T90" s="41"/>
      <c r="U90" s="41"/>
      <c r="V90" s="41"/>
      <c r="W90" s="41"/>
      <c r="X90" s="40"/>
      <c r="Y90" s="40"/>
      <c r="Z90" s="41"/>
      <c r="AA90" s="41"/>
      <c r="AB90" s="41"/>
      <c r="AC90" s="41"/>
      <c r="AD90" s="41"/>
      <c r="AE90" s="40"/>
      <c r="AF90" s="40"/>
      <c r="AG90" s="41"/>
      <c r="AH90" s="40"/>
      <c r="AI90" s="40"/>
      <c r="AJ90" s="41"/>
      <c r="AK90" s="41"/>
      <c r="AL90" s="41"/>
      <c r="AM90" s="40"/>
      <c r="AN90" s="40"/>
      <c r="AO90" s="41"/>
      <c r="AP90" s="41"/>
      <c r="AQ90" s="40"/>
      <c r="AR90" s="41"/>
      <c r="AS90" s="41"/>
      <c r="AT90" s="40"/>
      <c r="AU90" s="40"/>
      <c r="AV90" s="41"/>
      <c r="AW90" s="41"/>
      <c r="AX90" s="41"/>
      <c r="AY90" s="40"/>
      <c r="AZ90" s="3"/>
      <c r="BA90" s="3"/>
      <c r="BB90" s="3"/>
      <c r="BC90" s="3"/>
      <c r="BD90" s="5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s="6" customFormat="1" x14ac:dyDescent="0.2">
      <c r="A91" s="9"/>
      <c r="B91" s="41"/>
      <c r="C91" s="7"/>
      <c r="D91" s="7"/>
      <c r="E91" s="5"/>
      <c r="F91" s="5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1"/>
      <c r="AA91" s="41"/>
      <c r="AB91" s="41"/>
      <c r="AC91" s="41"/>
      <c r="AD91" s="41"/>
      <c r="AE91" s="40"/>
      <c r="AF91" s="40"/>
      <c r="AG91" s="41"/>
      <c r="AH91" s="40"/>
      <c r="AI91" s="40"/>
      <c r="AJ91" s="40"/>
      <c r="AK91" s="40"/>
      <c r="AL91" s="40"/>
      <c r="AM91" s="40"/>
      <c r="AN91" s="40"/>
      <c r="AO91" s="41"/>
      <c r="AP91" s="41"/>
      <c r="AQ91" s="40"/>
      <c r="AR91" s="41"/>
      <c r="AS91" s="41"/>
      <c r="AT91" s="41"/>
      <c r="AU91" s="40"/>
      <c r="AV91" s="41"/>
      <c r="AW91" s="41"/>
      <c r="AX91" s="41"/>
      <c r="AY91" s="40"/>
      <c r="AZ91" s="5"/>
      <c r="BA91" s="5"/>
      <c r="BB91" s="3"/>
      <c r="BC91" s="3"/>
      <c r="BD91" s="5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s="6" customFormat="1" x14ac:dyDescent="0.2">
      <c r="A92" s="9"/>
      <c r="B92" s="40"/>
      <c r="C92" s="7"/>
      <c r="D92" s="7"/>
      <c r="E92" s="5"/>
      <c r="F92" s="5"/>
      <c r="G92" s="40"/>
      <c r="H92" s="40"/>
      <c r="I92" s="40"/>
      <c r="J92" s="41"/>
      <c r="K92" s="40"/>
      <c r="L92" s="40"/>
      <c r="M92" s="40"/>
      <c r="N92" s="41"/>
      <c r="O92" s="40"/>
      <c r="P92" s="40"/>
      <c r="Q92" s="40"/>
      <c r="R92" s="41"/>
      <c r="S92" s="41"/>
      <c r="T92" s="40"/>
      <c r="U92" s="40"/>
      <c r="V92" s="40"/>
      <c r="W92" s="41"/>
      <c r="X92" s="40"/>
      <c r="Y92" s="40"/>
      <c r="Z92" s="41"/>
      <c r="AA92" s="41"/>
      <c r="AB92" s="41"/>
      <c r="AC92" s="40"/>
      <c r="AD92" s="41"/>
      <c r="AE92" s="40"/>
      <c r="AF92" s="40"/>
      <c r="AG92" s="40"/>
      <c r="AH92" s="40"/>
      <c r="AI92" s="40"/>
      <c r="AJ92" s="40"/>
      <c r="AK92" s="41"/>
      <c r="AL92" s="40"/>
      <c r="AM92" s="41"/>
      <c r="AN92" s="41"/>
      <c r="AO92" s="41"/>
      <c r="AP92" s="41"/>
      <c r="AQ92" s="40"/>
      <c r="AR92" s="41"/>
      <c r="AS92" s="41"/>
      <c r="AT92" s="41"/>
      <c r="AU92" s="40"/>
      <c r="AV92" s="41"/>
      <c r="AW92" s="41"/>
      <c r="AX92" s="41"/>
      <c r="AY92" s="40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7" s="6" customFormat="1" x14ac:dyDescent="0.2">
      <c r="A93" s="9"/>
      <c r="B93" s="40"/>
      <c r="C93" s="7"/>
      <c r="D93" s="7"/>
      <c r="E93" s="5"/>
      <c r="F93" s="5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1"/>
      <c r="AS93" s="41"/>
      <c r="AT93" s="41"/>
      <c r="AU93" s="40"/>
      <c r="AV93" s="41"/>
      <c r="AW93" s="41"/>
      <c r="AX93" s="41"/>
      <c r="AY93" s="40"/>
      <c r="AZ93" s="3"/>
      <c r="BA93" s="5"/>
      <c r="BB93" s="3"/>
      <c r="BC93" s="5"/>
      <c r="BD93" s="3"/>
      <c r="BE93" s="5"/>
      <c r="BF93" s="3"/>
      <c r="BG93" s="5"/>
      <c r="BH93" s="5"/>
      <c r="BI93" s="3"/>
      <c r="BJ93" s="3"/>
      <c r="BK93" s="5"/>
      <c r="BL93" s="5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7" s="6" customFormat="1" x14ac:dyDescent="0.2">
      <c r="A94" s="9"/>
      <c r="B94" s="41"/>
      <c r="C94" s="7"/>
      <c r="D94" s="7"/>
      <c r="E94" s="5"/>
      <c r="F94" s="5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1"/>
      <c r="AS94" s="40"/>
      <c r="AT94" s="41"/>
      <c r="AU94" s="40"/>
      <c r="AV94" s="41"/>
      <c r="AW94" s="41"/>
      <c r="AX94" s="40"/>
      <c r="AY94" s="40"/>
      <c r="AZ94" s="3"/>
      <c r="BA94" s="5"/>
      <c r="BB94" s="3"/>
      <c r="BC94" s="3"/>
      <c r="BD94" s="3"/>
      <c r="BE94" s="3"/>
      <c r="BF94" s="5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7" s="6" customFormat="1" x14ac:dyDescent="0.2">
      <c r="A95" s="9"/>
      <c r="B95" s="41"/>
      <c r="C95" s="7"/>
      <c r="D95" s="7"/>
      <c r="E95" s="5"/>
      <c r="F95" s="5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1"/>
      <c r="AS95" s="40"/>
      <c r="AT95" s="40"/>
      <c r="AU95" s="40"/>
      <c r="AV95" s="41"/>
      <c r="AW95" s="40"/>
      <c r="AX95" s="40"/>
      <c r="AY95" s="40"/>
      <c r="AZ95" s="3"/>
      <c r="BA95" s="3"/>
      <c r="BB95" s="3"/>
      <c r="BC95" s="3"/>
      <c r="BD95" s="3"/>
      <c r="BE95" s="3"/>
      <c r="BF95" s="5"/>
      <c r="BG95" s="5"/>
      <c r="BH95" s="5"/>
      <c r="BI95" s="3"/>
      <c r="BJ95" s="5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7" s="6" customFormat="1" x14ac:dyDescent="0.2">
      <c r="A96" s="9"/>
      <c r="B96" s="40"/>
      <c r="C96" s="7"/>
      <c r="D96" s="7"/>
      <c r="E96" s="5"/>
      <c r="F96" s="5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1"/>
      <c r="AR96" s="41"/>
      <c r="AS96" s="40"/>
      <c r="AT96" s="41"/>
      <c r="AU96" s="40"/>
      <c r="AV96" s="41"/>
      <c r="AW96" s="41"/>
      <c r="AX96" s="41"/>
      <c r="AY96" s="40"/>
      <c r="AZ96" s="3"/>
      <c r="BA96" s="5"/>
      <c r="BB96" s="5"/>
      <c r="BC96" s="5"/>
      <c r="BD96" s="3"/>
      <c r="BE96" s="5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s="6" customFormat="1" x14ac:dyDescent="0.2">
      <c r="A97" s="9"/>
      <c r="B97" s="40"/>
      <c r="C97" s="7"/>
      <c r="D97" s="7"/>
      <c r="E97" s="5"/>
      <c r="F97" s="5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1"/>
      <c r="AS97" s="41"/>
      <c r="AT97" s="40"/>
      <c r="AU97" s="40"/>
      <c r="AV97" s="41"/>
      <c r="AW97" s="40"/>
      <c r="AX97" s="40"/>
      <c r="AY97" s="40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s="6" customFormat="1" x14ac:dyDescent="0.2">
      <c r="A98" s="9"/>
      <c r="B98" s="41"/>
      <c r="C98" s="7"/>
      <c r="D98" s="7"/>
      <c r="E98" s="5"/>
      <c r="F98" s="5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1"/>
      <c r="AS98" s="40"/>
      <c r="AT98" s="41"/>
      <c r="AU98" s="40"/>
      <c r="AV98" s="41"/>
      <c r="AW98" s="41"/>
      <c r="AX98" s="41"/>
      <c r="AY98" s="40"/>
      <c r="AZ98" s="3"/>
      <c r="BA98" s="5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s="6" customFormat="1" x14ac:dyDescent="0.2">
      <c r="A99" s="9"/>
      <c r="B99" s="40"/>
      <c r="C99" s="7"/>
      <c r="D99" s="7"/>
      <c r="E99" s="5"/>
      <c r="F99" s="5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1"/>
      <c r="AT99" s="41"/>
      <c r="AU99" s="40"/>
      <c r="AV99" s="40"/>
      <c r="AW99" s="41"/>
      <c r="AX99" s="40"/>
      <c r="AY99" s="40"/>
      <c r="AZ99" s="3"/>
      <c r="BA99" s="3"/>
      <c r="BB99" s="3"/>
      <c r="BC99" s="3"/>
      <c r="BD99" s="3"/>
      <c r="BE99" s="3"/>
      <c r="BF99" s="5"/>
      <c r="BG99" s="5"/>
      <c r="BH99" s="3"/>
      <c r="BI99" s="3"/>
      <c r="BJ99" s="5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s="6" customFormat="1" x14ac:dyDescent="0.2">
      <c r="A100" s="9"/>
      <c r="B100" s="40"/>
      <c r="C100" s="7"/>
      <c r="D100" s="7"/>
      <c r="E100" s="5"/>
      <c r="F100" s="5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1"/>
      <c r="AU100" s="40"/>
      <c r="AV100" s="40"/>
      <c r="AW100" s="41"/>
      <c r="AX100" s="40"/>
      <c r="AY100" s="40"/>
      <c r="AZ100" s="3"/>
      <c r="BA100" s="5"/>
      <c r="BB100" s="3"/>
      <c r="BC100" s="3"/>
      <c r="BD100" s="3"/>
      <c r="BE100" s="3"/>
      <c r="BF100" s="5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s="6" customFormat="1" x14ac:dyDescent="0.2">
      <c r="A101" s="9"/>
      <c r="B101" s="41"/>
      <c r="C101" s="7"/>
      <c r="D101" s="7"/>
      <c r="E101" s="5"/>
      <c r="F101" s="5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1"/>
      <c r="AU101" s="41"/>
      <c r="AV101" s="41"/>
      <c r="AW101" s="41"/>
      <c r="AX101" s="41"/>
      <c r="AY101" s="40"/>
      <c r="AZ101" s="5"/>
      <c r="BA101" s="5"/>
      <c r="BB101" s="5"/>
      <c r="BC101" s="5"/>
      <c r="BD101" s="3"/>
      <c r="BE101" s="3"/>
      <c r="BF101" s="5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s="6" customFormat="1" x14ac:dyDescent="0.2">
      <c r="A102" s="9"/>
      <c r="B102" s="41"/>
      <c r="C102" s="7"/>
      <c r="D102" s="7"/>
      <c r="E102" s="5"/>
      <c r="F102" s="5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1"/>
      <c r="AX102" s="41"/>
      <c r="AY102" s="40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5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s="6" customFormat="1" x14ac:dyDescent="0.2">
      <c r="A103" s="9"/>
      <c r="B103" s="40"/>
      <c r="D103" s="7"/>
      <c r="E103" s="3"/>
      <c r="F103" s="3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s="6" customFormat="1" x14ac:dyDescent="0.2">
      <c r="A104" s="9"/>
      <c r="B104" s="40"/>
      <c r="C104" s="7"/>
      <c r="D104" s="7"/>
      <c r="E104" s="5"/>
      <c r="F104" s="5"/>
      <c r="G104" s="41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1"/>
      <c r="AW104" s="41"/>
      <c r="AX104" s="41"/>
      <c r="AY104" s="40"/>
      <c r="AZ104" s="3"/>
      <c r="BA104" s="3"/>
      <c r="BB104" s="3"/>
      <c r="BC104" s="3"/>
      <c r="BD104" s="3"/>
      <c r="BE104" s="3"/>
      <c r="BF104" s="5"/>
      <c r="BG104" s="5"/>
      <c r="BH104" s="5"/>
      <c r="BI104" s="3"/>
      <c r="BJ104" s="5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s="6" customFormat="1" x14ac:dyDescent="0.2">
      <c r="A105" s="9"/>
      <c r="B105" s="41"/>
      <c r="C105" s="7"/>
      <c r="D105" s="7"/>
      <c r="E105" s="5"/>
      <c r="F105" s="5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1"/>
      <c r="AV105" s="40"/>
      <c r="AW105" s="41"/>
      <c r="AX105" s="40"/>
      <c r="AY105" s="40"/>
      <c r="AZ105" s="3"/>
      <c r="BA105" s="3"/>
      <c r="BB105" s="3"/>
      <c r="BC105" s="3"/>
      <c r="BD105" s="3"/>
      <c r="BE105" s="3"/>
      <c r="BF105" s="5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s="6" customFormat="1" x14ac:dyDescent="0.2">
      <c r="A106" s="9"/>
      <c r="B106" s="41"/>
      <c r="C106" s="7"/>
      <c r="D106" s="7"/>
      <c r="E106" s="5"/>
      <c r="F106" s="5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1"/>
      <c r="AV106" s="40"/>
      <c r="AW106" s="41"/>
      <c r="AX106" s="40"/>
      <c r="AY106" s="40"/>
      <c r="AZ106" s="3"/>
      <c r="BA106" s="3"/>
      <c r="BB106" s="3"/>
      <c r="BC106" s="3"/>
      <c r="BD106" s="3"/>
      <c r="BE106" s="3"/>
      <c r="BF106" s="5"/>
      <c r="BG106" s="5"/>
      <c r="BH106" s="5"/>
      <c r="BI106" s="3"/>
      <c r="BJ106" s="5"/>
      <c r="BK106" s="5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7" s="6" customFormat="1" x14ac:dyDescent="0.2">
      <c r="A107" s="9"/>
      <c r="B107" s="40"/>
      <c r="C107" s="7"/>
      <c r="D107" s="7"/>
      <c r="E107" s="5"/>
      <c r="F107" s="5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1"/>
      <c r="AW107" s="41"/>
      <c r="AX107" s="41"/>
      <c r="AY107" s="40"/>
      <c r="AZ107" s="3"/>
      <c r="BA107" s="3"/>
      <c r="BB107" s="3"/>
      <c r="BC107" s="3"/>
      <c r="BD107" s="3"/>
      <c r="BE107" s="3"/>
      <c r="BF107" s="5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7" s="6" customFormat="1" x14ac:dyDescent="0.2">
      <c r="A108" s="9"/>
      <c r="B108" s="40"/>
      <c r="C108" s="7"/>
      <c r="D108" s="7"/>
      <c r="E108" s="5"/>
      <c r="F108" s="5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1"/>
      <c r="AW108" s="41"/>
      <c r="AX108" s="40"/>
      <c r="AY108" s="40"/>
      <c r="AZ108" s="3"/>
      <c r="BA108" s="5"/>
      <c r="BB108" s="5"/>
      <c r="BC108" s="5"/>
      <c r="BD108" s="3"/>
      <c r="BE108" s="5"/>
      <c r="BF108" s="3"/>
      <c r="BG108" s="5"/>
      <c r="BH108" s="5"/>
      <c r="BI108" s="3"/>
      <c r="BJ108" s="3"/>
      <c r="BK108" s="5"/>
      <c r="BL108" s="5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7" s="6" customFormat="1" x14ac:dyDescent="0.2">
      <c r="A109" s="9"/>
      <c r="B109" s="41"/>
      <c r="C109" s="7"/>
      <c r="D109" s="7"/>
      <c r="E109" s="5"/>
      <c r="F109" s="5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1"/>
      <c r="AW109" s="41"/>
      <c r="AX109" s="41"/>
      <c r="AY109" s="40"/>
      <c r="AZ109" s="3"/>
      <c r="BA109" s="3"/>
      <c r="BB109" s="3"/>
      <c r="BC109" s="3"/>
      <c r="BD109" s="3"/>
      <c r="BE109" s="3"/>
      <c r="BF109" s="5"/>
      <c r="BG109" s="5"/>
      <c r="BH109" s="3"/>
      <c r="BI109" s="3"/>
      <c r="BJ109" s="3"/>
      <c r="BK109" s="3"/>
      <c r="BL109" s="5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7" s="6" customFormat="1" x14ac:dyDescent="0.2">
      <c r="A110" s="9"/>
      <c r="B110" s="41"/>
      <c r="C110" s="7"/>
      <c r="D110" s="7"/>
      <c r="E110" s="5"/>
      <c r="F110" s="5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1"/>
      <c r="AW110" s="41"/>
      <c r="AX110" s="41"/>
      <c r="AY110" s="40"/>
      <c r="AZ110" s="3"/>
      <c r="BA110" s="3"/>
      <c r="BB110" s="3"/>
      <c r="BC110" s="3"/>
      <c r="BD110" s="3"/>
      <c r="BE110" s="3"/>
      <c r="BF110" s="3"/>
      <c r="BG110" s="5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7" s="6" customFormat="1" x14ac:dyDescent="0.2">
      <c r="A111" s="9"/>
      <c r="B111" s="41"/>
      <c r="C111" s="7"/>
      <c r="D111" s="7"/>
      <c r="E111" s="5"/>
      <c r="F111" s="5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1"/>
      <c r="AW111" s="41"/>
      <c r="AX111" s="41"/>
      <c r="AY111" s="40"/>
      <c r="AZ111" s="3"/>
      <c r="BA111" s="5"/>
      <c r="BB111" s="5"/>
      <c r="BC111" s="5"/>
      <c r="BD111" s="3"/>
      <c r="BE111" s="5"/>
      <c r="BF111" s="3"/>
      <c r="BG111" s="5"/>
      <c r="BH111" s="3"/>
      <c r="BI111" s="5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7" s="6" customFormat="1" x14ac:dyDescent="0.2">
      <c r="A112" s="9"/>
      <c r="B112" s="41"/>
      <c r="C112" s="7"/>
      <c r="D112" s="7"/>
      <c r="E112" s="5"/>
      <c r="F112" s="5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1"/>
      <c r="AW112" s="41"/>
      <c r="AX112" s="41"/>
      <c r="AY112" s="40"/>
      <c r="AZ112" s="3"/>
      <c r="BA112" s="3"/>
      <c r="BB112" s="3"/>
      <c r="BC112" s="3"/>
      <c r="BD112" s="5"/>
      <c r="BE112" s="3"/>
      <c r="BF112" s="3"/>
      <c r="BG112" s="3"/>
      <c r="BH112" s="5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s="6" customFormat="1" x14ac:dyDescent="0.2">
      <c r="A113" s="9"/>
      <c r="B113" s="41"/>
      <c r="C113" s="18"/>
      <c r="D113" s="7"/>
      <c r="E113" s="5"/>
      <c r="F113" s="5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3"/>
      <c r="BA113" s="3"/>
      <c r="BB113" s="3"/>
      <c r="BC113" s="3"/>
      <c r="BD113" s="3"/>
      <c r="BE113" s="3"/>
      <c r="BF113" s="5"/>
      <c r="BG113" s="3"/>
      <c r="BH113" s="5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s="17" customFormat="1" x14ac:dyDescent="0.2">
      <c r="A114" s="24"/>
      <c r="B114" s="36"/>
      <c r="C114" s="18"/>
      <c r="D114" s="18"/>
      <c r="E114" s="5"/>
      <c r="F114" s="5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27"/>
      <c r="AX114" s="36"/>
      <c r="AY114" s="36"/>
      <c r="AZ114" s="27"/>
      <c r="BA114" s="26"/>
      <c r="BB114" s="26"/>
      <c r="BC114" s="26"/>
      <c r="BD114" s="26"/>
      <c r="BE114" s="26"/>
      <c r="BF114" s="27"/>
      <c r="BG114" s="26"/>
      <c r="BH114" s="26"/>
      <c r="BI114" s="26"/>
      <c r="BJ114" s="3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</row>
    <row r="115" spans="1:77" s="14" customFormat="1" x14ac:dyDescent="0.2">
      <c r="A115" s="25"/>
      <c r="B115" s="40"/>
      <c r="C115" s="15"/>
      <c r="D115" s="15"/>
      <c r="E115" s="5"/>
      <c r="F115" s="5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1"/>
      <c r="AX115" s="41"/>
      <c r="AY115" s="40"/>
      <c r="AZ115" s="3"/>
      <c r="BA115" s="5"/>
      <c r="BB115" s="5"/>
      <c r="BC115" s="5"/>
      <c r="BD115" s="3"/>
      <c r="BE115" s="5"/>
      <c r="BF115" s="3"/>
      <c r="BG115" s="5"/>
      <c r="BH115" s="3"/>
      <c r="BI115" s="3"/>
      <c r="BJ115" s="3"/>
      <c r="BK115" s="5"/>
      <c r="BL115" s="5"/>
      <c r="BM115" s="3"/>
      <c r="BN115" s="3"/>
      <c r="BO115" s="3"/>
    </row>
    <row r="116" spans="1:77" s="14" customFormat="1" x14ac:dyDescent="0.2">
      <c r="A116" s="25"/>
      <c r="B116" s="40"/>
      <c r="C116" s="15"/>
      <c r="D116" s="15"/>
      <c r="E116" s="5"/>
      <c r="F116" s="5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1"/>
      <c r="AX116" s="41"/>
      <c r="AY116" s="40"/>
      <c r="AZ116" s="3"/>
      <c r="BA116" s="5"/>
      <c r="BB116" s="5"/>
      <c r="BC116" s="5"/>
      <c r="BD116" s="3"/>
      <c r="BE116" s="5"/>
      <c r="BF116" s="3"/>
      <c r="BG116" s="5"/>
      <c r="BH116" s="3"/>
      <c r="BI116" s="3"/>
      <c r="BJ116" s="3"/>
      <c r="BK116" s="5"/>
      <c r="BL116" s="5"/>
      <c r="BM116" s="3"/>
      <c r="BN116" s="3"/>
      <c r="BO116" s="3"/>
    </row>
    <row r="117" spans="1:77" s="14" customFormat="1" x14ac:dyDescent="0.2">
      <c r="A117" s="25"/>
      <c r="B117" s="40"/>
      <c r="C117" s="15"/>
      <c r="D117" s="15"/>
      <c r="E117" s="5"/>
      <c r="F117" s="5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3"/>
      <c r="BA117" s="3"/>
      <c r="BB117" s="3"/>
      <c r="BC117" s="3"/>
      <c r="BD117" s="3"/>
      <c r="BE117" s="3"/>
      <c r="BF117" s="3"/>
      <c r="BG117" s="3"/>
      <c r="BH117" s="3"/>
      <c r="BK117" s="3"/>
      <c r="BL117" s="3"/>
      <c r="BM117" s="3"/>
      <c r="BN117" s="3"/>
      <c r="BO117" s="3"/>
    </row>
    <row r="118" spans="1:77" s="6" customFormat="1" x14ac:dyDescent="0.2">
      <c r="A118" s="9"/>
      <c r="B118" s="40"/>
      <c r="C118" s="7"/>
      <c r="D118" s="7"/>
      <c r="E118" s="5"/>
      <c r="F118" s="5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5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s="6" customFormat="1" x14ac:dyDescent="0.2">
      <c r="A119" s="9"/>
      <c r="B119" s="41"/>
      <c r="C119" s="7"/>
      <c r="D119" s="15"/>
      <c r="E119" s="5"/>
      <c r="F119" s="5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3"/>
      <c r="BA119" s="5"/>
      <c r="BB119" s="3"/>
      <c r="BC119" s="3"/>
      <c r="BD119" s="3"/>
      <c r="BE119" s="3"/>
      <c r="BF119" s="3"/>
      <c r="BG119" s="3"/>
      <c r="BH119" s="3"/>
      <c r="BI119" s="3"/>
      <c r="BJ119" s="3"/>
      <c r="BK119" s="5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s="6" customFormat="1" x14ac:dyDescent="0.2">
      <c r="A120" s="9"/>
      <c r="B120" s="40"/>
      <c r="C120" s="7"/>
      <c r="D120" s="15"/>
      <c r="E120" s="5"/>
      <c r="F120" s="5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3"/>
      <c r="BA120" s="5"/>
      <c r="BB120" s="5"/>
      <c r="BC120" s="5"/>
      <c r="BD120" s="3"/>
      <c r="BE120" s="5"/>
      <c r="BF120" s="3"/>
      <c r="BG120" s="5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s="6" customFormat="1" x14ac:dyDescent="0.2">
      <c r="A121" s="9"/>
      <c r="B121" s="41"/>
      <c r="C121" s="7"/>
      <c r="D121" s="15"/>
      <c r="E121" s="3"/>
      <c r="F121" s="5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1"/>
      <c r="AY121" s="40"/>
      <c r="AZ121" s="3"/>
      <c r="BA121" s="5"/>
      <c r="BB121" s="5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s="6" customFormat="1" x14ac:dyDescent="0.2">
      <c r="A122" s="9"/>
      <c r="B122" s="40"/>
      <c r="C122" s="7"/>
      <c r="D122" s="15"/>
      <c r="E122" s="5"/>
      <c r="F122" s="5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3"/>
      <c r="BA122" s="5"/>
      <c r="BB122" s="5"/>
      <c r="BC122" s="5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s="6" customFormat="1" x14ac:dyDescent="0.2">
      <c r="A123" s="9"/>
      <c r="B123" s="40"/>
      <c r="C123" s="7"/>
      <c r="D123" s="15"/>
      <c r="E123" s="5"/>
      <c r="F123" s="5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3"/>
      <c r="BA123" s="5"/>
      <c r="BB123" s="5"/>
      <c r="BC123" s="5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s="6" customFormat="1" x14ac:dyDescent="0.2">
      <c r="A124" s="9"/>
      <c r="B124" s="40"/>
      <c r="C124" s="7"/>
      <c r="D124" s="15"/>
      <c r="E124" s="3"/>
      <c r="F124" s="3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3"/>
      <c r="BA124" s="5"/>
      <c r="BB124" s="5"/>
      <c r="BC124" s="5"/>
      <c r="BD124" s="3"/>
      <c r="BE124" s="5"/>
      <c r="BF124" s="3"/>
      <c r="BG124" s="5"/>
      <c r="BH124" s="3"/>
      <c r="BI124" s="3"/>
      <c r="BJ124" s="3"/>
      <c r="BK124" s="5"/>
      <c r="BL124" s="5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1:77" s="6" customFormat="1" x14ac:dyDescent="0.2">
      <c r="A125" s="9"/>
      <c r="B125" s="40"/>
      <c r="C125" s="7"/>
      <c r="D125" s="15"/>
      <c r="E125" s="3"/>
      <c r="F125" s="3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3"/>
      <c r="BA125" s="5"/>
      <c r="BB125" s="5"/>
      <c r="BC125" s="3"/>
      <c r="BD125" s="3"/>
      <c r="BE125" s="5"/>
      <c r="BF125" s="5"/>
      <c r="BG125" s="5"/>
      <c r="BH125" s="3"/>
      <c r="BI125" s="3"/>
      <c r="BJ125" s="3"/>
      <c r="BK125" s="5"/>
      <c r="BL125" s="5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1:77" s="6" customFormat="1" x14ac:dyDescent="0.2">
      <c r="A126" s="9"/>
      <c r="B126" s="41"/>
      <c r="C126" s="7"/>
      <c r="D126" s="7"/>
      <c r="E126" s="5"/>
      <c r="F126" s="5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3"/>
      <c r="BA126" s="5"/>
      <c r="BB126" s="5"/>
      <c r="BC126" s="5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1:77" s="6" customFormat="1" x14ac:dyDescent="0.2">
      <c r="A127" s="9"/>
      <c r="B127" s="41"/>
      <c r="C127" s="7"/>
      <c r="D127" s="15"/>
      <c r="E127" s="5"/>
      <c r="F127" s="5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3"/>
      <c r="BA127" s="5"/>
      <c r="BB127" s="5"/>
      <c r="BC127" s="5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1:77" s="6" customFormat="1" x14ac:dyDescent="0.2">
      <c r="A128" s="9"/>
      <c r="B128" s="41"/>
      <c r="C128" s="7"/>
      <c r="D128" s="7"/>
      <c r="E128" s="3"/>
      <c r="F128" s="3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3"/>
      <c r="BA128" s="5"/>
      <c r="BB128" s="5"/>
      <c r="BC128" s="5"/>
      <c r="BD128" s="3"/>
      <c r="BE128" s="3"/>
      <c r="BF128" s="3"/>
      <c r="BG128" s="3"/>
      <c r="BH128" s="3"/>
      <c r="BI128" s="3"/>
      <c r="BJ128" s="3"/>
      <c r="BK128" s="5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1:77" s="6" customFormat="1" x14ac:dyDescent="0.2">
      <c r="A129" s="9"/>
      <c r="B129" s="41"/>
      <c r="C129" s="7"/>
      <c r="D129" s="7"/>
      <c r="E129" s="5"/>
      <c r="F129" s="5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3"/>
      <c r="BA129" s="5"/>
      <c r="BB129" s="5"/>
      <c r="BC129" s="5"/>
      <c r="BD129" s="3"/>
      <c r="BE129" s="5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1:77" s="6" customFormat="1" x14ac:dyDescent="0.2">
      <c r="A130" s="9"/>
      <c r="B130" s="41"/>
      <c r="C130" s="7"/>
      <c r="D130" s="7"/>
      <c r="E130" s="5"/>
      <c r="F130" s="5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3"/>
      <c r="BA130" s="5"/>
      <c r="BB130" s="5"/>
      <c r="BC130" s="5"/>
      <c r="BD130" s="3"/>
      <c r="BE130" s="5"/>
      <c r="BF130" s="3"/>
      <c r="BG130" s="5"/>
      <c r="BH130" s="3"/>
      <c r="BI130" s="3"/>
      <c r="BJ130" s="5"/>
      <c r="BK130" s="5"/>
      <c r="BL130" s="5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1:77" s="6" customFormat="1" x14ac:dyDescent="0.2">
      <c r="A131" s="9"/>
      <c r="B131" s="40"/>
      <c r="C131" s="7"/>
      <c r="D131" s="7"/>
      <c r="E131" s="5"/>
      <c r="F131" s="5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"/>
      <c r="BA131" s="5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1:77" s="6" customFormat="1" x14ac:dyDescent="0.2">
      <c r="A132" s="9"/>
      <c r="B132" s="40"/>
      <c r="C132" s="7"/>
      <c r="D132" s="7"/>
      <c r="E132" s="5"/>
      <c r="F132" s="5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"/>
      <c r="BA132" s="5"/>
      <c r="BB132" s="5"/>
      <c r="BC132" s="5"/>
      <c r="BD132" s="3"/>
      <c r="BE132" s="5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1:77" s="6" customFormat="1" x14ac:dyDescent="0.2">
      <c r="A133" s="9"/>
      <c r="B133" s="40"/>
      <c r="C133" s="7"/>
      <c r="D133" s="7"/>
      <c r="E133" s="5"/>
      <c r="F133" s="5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1:77" s="6" customFormat="1" x14ac:dyDescent="0.2">
      <c r="A134" s="9"/>
      <c r="B134" s="40"/>
      <c r="C134" s="7"/>
      <c r="D134" s="10"/>
      <c r="E134" s="5"/>
      <c r="F134" s="5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3"/>
      <c r="BA134" s="3"/>
      <c r="BB134" s="5"/>
      <c r="BC134" s="5"/>
      <c r="BD134" s="3"/>
      <c r="BE134" s="5"/>
      <c r="BF134" s="3"/>
      <c r="BG134" s="5"/>
      <c r="BH134" s="3"/>
      <c r="BI134" s="3"/>
      <c r="BJ134" s="3"/>
      <c r="BK134" s="3"/>
      <c r="BL134" s="5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1:77" s="6" customFormat="1" x14ac:dyDescent="0.2">
      <c r="A135" s="9"/>
      <c r="B135" s="40"/>
      <c r="C135" s="7"/>
      <c r="D135" s="10"/>
      <c r="E135" s="5"/>
      <c r="F135" s="5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3"/>
      <c r="BA135" s="3"/>
      <c r="BB135" s="5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1:77" s="6" customFormat="1" x14ac:dyDescent="0.2">
      <c r="A136" s="9"/>
      <c r="B136" s="40"/>
      <c r="C136" s="7"/>
      <c r="D136" s="7"/>
      <c r="E136" s="3"/>
      <c r="F136" s="3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1:77" s="6" customFormat="1" x14ac:dyDescent="0.2">
      <c r="A137" s="9"/>
      <c r="B137" s="40"/>
      <c r="C137" s="7"/>
      <c r="D137" s="7"/>
      <c r="E137" s="5"/>
      <c r="F137" s="5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3"/>
      <c r="BA137" s="3"/>
      <c r="BB137" s="3"/>
      <c r="BC137" s="5"/>
      <c r="BD137" s="3"/>
      <c r="BE137" s="5"/>
      <c r="BF137" s="3"/>
      <c r="BG137" s="5"/>
      <c r="BH137" s="3"/>
      <c r="BI137" s="3"/>
      <c r="BJ137" s="3"/>
      <c r="BK137" s="5"/>
      <c r="BL137" s="5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1:77" s="6" customFormat="1" x14ac:dyDescent="0.2">
      <c r="A138" s="9"/>
      <c r="B138" s="40"/>
      <c r="C138" s="7"/>
      <c r="D138" s="10"/>
      <c r="E138" s="12"/>
      <c r="F138" s="12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3"/>
      <c r="BA138" s="3"/>
      <c r="BB138" s="3"/>
      <c r="BC138" s="5"/>
      <c r="BD138" s="3"/>
      <c r="BE138" s="5"/>
      <c r="BF138" s="3"/>
      <c r="BG138" s="5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1:77" s="6" customFormat="1" x14ac:dyDescent="0.2">
      <c r="A139" s="9"/>
      <c r="B139" s="40"/>
      <c r="C139" s="7"/>
      <c r="D139" s="7"/>
      <c r="E139" s="3"/>
      <c r="F139" s="3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"/>
      <c r="BA139" s="3"/>
      <c r="BB139" s="3"/>
      <c r="BC139" s="5"/>
      <c r="BD139" s="3"/>
      <c r="BE139" s="5"/>
      <c r="BF139" s="3"/>
      <c r="BG139" s="5"/>
      <c r="BH139" s="3"/>
      <c r="BI139" s="3"/>
      <c r="BJ139" s="3"/>
      <c r="BK139" s="5"/>
      <c r="BL139" s="5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1:77" s="6" customFormat="1" x14ac:dyDescent="0.2">
      <c r="A140" s="9"/>
      <c r="B140" s="41"/>
      <c r="C140" s="7"/>
      <c r="D140" s="7"/>
      <c r="E140" s="12"/>
      <c r="F140" s="12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3"/>
      <c r="BA140" s="3"/>
      <c r="BB140" s="3"/>
      <c r="BC140" s="5"/>
      <c r="BD140" s="3"/>
      <c r="BE140" s="5"/>
      <c r="BF140" s="3"/>
      <c r="BG140" s="5"/>
      <c r="BH140" s="3"/>
      <c r="BI140" s="3"/>
      <c r="BJ140" s="3"/>
      <c r="BK140" s="5"/>
      <c r="BL140" s="5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1:77" s="6" customFormat="1" x14ac:dyDescent="0.2">
      <c r="A141" s="9"/>
      <c r="B141" s="40"/>
      <c r="C141" s="7"/>
      <c r="D141" s="7"/>
      <c r="E141" s="5"/>
      <c r="F141" s="5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3"/>
      <c r="BA141" s="3"/>
      <c r="BB141" s="3"/>
      <c r="BC141" s="5"/>
      <c r="BD141" s="3"/>
      <c r="BE141" s="5"/>
      <c r="BF141" s="3"/>
      <c r="BG141" s="5"/>
      <c r="BH141" s="3"/>
      <c r="BI141" s="3"/>
      <c r="BJ141" s="3"/>
      <c r="BK141" s="5"/>
      <c r="BL141" s="5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1:77" s="6" customFormat="1" x14ac:dyDescent="0.2">
      <c r="A142" s="9"/>
      <c r="B142" s="40"/>
      <c r="C142" s="7"/>
      <c r="D142" s="7"/>
      <c r="E142" s="5"/>
      <c r="F142" s="5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"/>
      <c r="BA142" s="3"/>
      <c r="BB142" s="3"/>
      <c r="BC142" s="5"/>
      <c r="BD142" s="3"/>
      <c r="BE142" s="5"/>
      <c r="BF142" s="3"/>
      <c r="BG142" s="5"/>
      <c r="BH142" s="3"/>
      <c r="BI142" s="3"/>
      <c r="BJ142" s="3"/>
      <c r="BK142" s="5"/>
      <c r="BL142" s="5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1:77" s="6" customFormat="1" x14ac:dyDescent="0.2">
      <c r="A143" s="9"/>
      <c r="B143" s="40"/>
      <c r="C143" s="7"/>
      <c r="D143" s="7"/>
      <c r="E143" s="5"/>
      <c r="F143" s="5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"/>
      <c r="BA143" s="3"/>
      <c r="BB143" s="3"/>
      <c r="BC143" s="3"/>
      <c r="BD143" s="3"/>
      <c r="BE143" s="5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1:77" s="6" customFormat="1" x14ac:dyDescent="0.2">
      <c r="A144" s="9"/>
      <c r="B144" s="40"/>
      <c r="C144" s="7"/>
      <c r="D144" s="7"/>
      <c r="E144" s="3"/>
      <c r="F144" s="3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"/>
      <c r="BA144" s="3"/>
      <c r="BB144" s="3"/>
      <c r="BC144" s="3"/>
      <c r="BD144" s="3"/>
      <c r="BE144" s="3"/>
      <c r="BF144" s="3"/>
      <c r="BG144" s="5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1:77" s="6" customFormat="1" x14ac:dyDescent="0.2">
      <c r="A145" s="9"/>
      <c r="B145" s="40"/>
      <c r="C145" s="7"/>
      <c r="D145" s="7"/>
      <c r="E145" s="5"/>
      <c r="F145" s="5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"/>
      <c r="BA145" s="3"/>
      <c r="BB145" s="3"/>
      <c r="BC145" s="3"/>
      <c r="BD145" s="3"/>
      <c r="BE145" s="5"/>
      <c r="BF145" s="3"/>
      <c r="BG145" s="5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1:77" s="6" customFormat="1" x14ac:dyDescent="0.2">
      <c r="A146" s="9"/>
      <c r="B146" s="40"/>
      <c r="C146" s="7"/>
      <c r="D146" s="7"/>
      <c r="E146" s="5"/>
      <c r="F146" s="5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"/>
      <c r="BA146" s="3"/>
      <c r="BB146" s="3"/>
      <c r="BC146" s="3"/>
      <c r="BD146" s="3"/>
      <c r="BE146" s="5"/>
      <c r="BF146" s="3"/>
      <c r="BG146" s="5"/>
      <c r="BH146" s="3"/>
      <c r="BI146" s="3"/>
      <c r="BJ146" s="3"/>
      <c r="BK146" s="5"/>
      <c r="BL146" s="5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1:77" s="6" customFormat="1" x14ac:dyDescent="0.2">
      <c r="A147" s="9"/>
      <c r="B147" s="40"/>
      <c r="C147" s="7"/>
      <c r="D147" s="10"/>
      <c r="E147" s="3"/>
      <c r="F147" s="3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1:77" s="6" customFormat="1" x14ac:dyDescent="0.2">
      <c r="A148" s="9"/>
      <c r="B148" s="41"/>
      <c r="D148" s="7"/>
      <c r="E148" s="5"/>
      <c r="F148" s="5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3"/>
      <c r="BA148" s="3"/>
      <c r="BB148" s="3"/>
      <c r="BC148" s="3"/>
      <c r="BD148" s="3"/>
      <c r="BE148" s="3"/>
      <c r="BF148" s="3"/>
      <c r="BG148" s="5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1:77" s="6" customFormat="1" x14ac:dyDescent="0.2">
      <c r="A149" s="9"/>
      <c r="B149" s="40"/>
      <c r="C149" s="7"/>
      <c r="D149" s="7"/>
      <c r="E149" s="5"/>
      <c r="F149" s="5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1:77" s="6" customFormat="1" x14ac:dyDescent="0.2">
      <c r="A150" s="9"/>
      <c r="B150" s="40"/>
      <c r="C150" s="7"/>
      <c r="D150" s="7"/>
      <c r="E150" s="3"/>
      <c r="F150" s="3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1:77" s="6" customFormat="1" x14ac:dyDescent="0.2">
      <c r="A151" s="9"/>
      <c r="B151" s="40"/>
      <c r="C151" s="7"/>
      <c r="D151" s="7"/>
      <c r="E151" s="3"/>
      <c r="F151" s="3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1:77" s="6" customFormat="1" x14ac:dyDescent="0.2">
      <c r="A152" s="9"/>
      <c r="B152" s="40"/>
      <c r="C152" s="7"/>
      <c r="D152" s="7"/>
      <c r="E152" s="3"/>
      <c r="F152" s="3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5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1:77" s="6" customFormat="1" x14ac:dyDescent="0.2">
      <c r="A153" s="9"/>
      <c r="B153" s="40"/>
      <c r="D153" s="7"/>
      <c r="E153" s="5"/>
      <c r="F153" s="5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5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1:77" s="6" customFormat="1" x14ac:dyDescent="0.2">
      <c r="A154" s="9"/>
      <c r="B154" s="40"/>
      <c r="C154" s="7"/>
      <c r="D154" s="10"/>
      <c r="E154" s="5"/>
      <c r="F154" s="5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5"/>
      <c r="BL154" s="5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1:77" s="6" customFormat="1" x14ac:dyDescent="0.2">
      <c r="A155" s="9"/>
      <c r="B155" s="40"/>
      <c r="C155" s="7"/>
      <c r="D155" s="7"/>
      <c r="E155" s="5"/>
      <c r="F155" s="5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1:77" s="17" customFormat="1" x14ac:dyDescent="0.2">
      <c r="A156" s="24"/>
      <c r="B156" s="36"/>
      <c r="C156" s="18"/>
      <c r="D156" s="18"/>
      <c r="E156" s="27"/>
      <c r="F156" s="27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</row>
    <row r="157" spans="1:77" s="17" customFormat="1" x14ac:dyDescent="0.2">
      <c r="A157" s="24"/>
      <c r="B157" s="36"/>
      <c r="C157" s="18"/>
      <c r="D157" s="18"/>
      <c r="E157" s="27"/>
      <c r="F157" s="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</row>
    <row r="158" spans="1:77" s="17" customFormat="1" x14ac:dyDescent="0.2">
      <c r="A158" s="24"/>
      <c r="B158" s="36"/>
      <c r="C158" s="18"/>
      <c r="D158" s="18"/>
      <c r="E158" s="26"/>
      <c r="F158" s="2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</row>
    <row r="159" spans="1:77" s="17" customFormat="1" x14ac:dyDescent="0.2">
      <c r="A159" s="24"/>
      <c r="B159" s="36"/>
      <c r="C159" s="18"/>
      <c r="D159" s="18"/>
      <c r="E159" s="26"/>
      <c r="F159" s="2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</row>
    <row r="160" spans="1:77" s="17" customFormat="1" x14ac:dyDescent="0.2">
      <c r="A160" s="24"/>
      <c r="B160" s="36"/>
      <c r="D160" s="18"/>
      <c r="E160" s="26"/>
      <c r="F160" s="2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</row>
    <row r="161" spans="1:112" s="17" customFormat="1" x14ac:dyDescent="0.2">
      <c r="A161" s="24"/>
      <c r="B161" s="36"/>
      <c r="D161" s="18"/>
      <c r="E161" s="26"/>
      <c r="F161" s="2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</row>
    <row r="162" spans="1:112" s="17" customFormat="1" x14ac:dyDescent="0.2">
      <c r="A162" s="24"/>
      <c r="B162" s="36"/>
      <c r="D162" s="18"/>
      <c r="E162" s="26"/>
      <c r="F162" s="2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</row>
    <row r="163" spans="1:112" s="17" customFormat="1" x14ac:dyDescent="0.2">
      <c r="A163" s="20"/>
      <c r="B163" s="37"/>
      <c r="D163" s="18"/>
      <c r="E163" s="28"/>
      <c r="F163" s="2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</row>
    <row r="164" spans="1:112" s="17" customFormat="1" x14ac:dyDescent="0.2">
      <c r="A164" s="24"/>
      <c r="B164" s="36"/>
      <c r="D164" s="18"/>
      <c r="E164" s="26"/>
      <c r="F164" s="2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</row>
    <row r="165" spans="1:112" s="17" customFormat="1" x14ac:dyDescent="0.2">
      <c r="A165" s="24"/>
      <c r="B165" s="36"/>
      <c r="D165" s="18"/>
      <c r="E165" s="26"/>
      <c r="F165" s="2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</row>
    <row r="166" spans="1:112" s="17" customFormat="1" x14ac:dyDescent="0.2">
      <c r="A166" s="24"/>
      <c r="B166" s="36"/>
      <c r="D166" s="18"/>
      <c r="E166" s="26"/>
      <c r="F166" s="2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</row>
    <row r="167" spans="1:112" s="17" customFormat="1" x14ac:dyDescent="0.2">
      <c r="A167" s="24"/>
      <c r="B167" s="36"/>
      <c r="D167" s="18"/>
      <c r="E167" s="26"/>
      <c r="F167" s="2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</row>
    <row r="168" spans="1:112" s="17" customFormat="1" x14ac:dyDescent="0.2">
      <c r="A168" s="24"/>
      <c r="B168" s="36"/>
      <c r="D168" s="18"/>
      <c r="E168" s="26"/>
      <c r="F168" s="2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</row>
    <row r="169" spans="1:112" s="17" customFormat="1" x14ac:dyDescent="0.2">
      <c r="A169" s="24"/>
      <c r="B169" s="36"/>
      <c r="D169" s="18"/>
      <c r="E169" s="26"/>
      <c r="F169" s="2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</row>
    <row r="170" spans="1:112" s="17" customFormat="1" x14ac:dyDescent="0.2">
      <c r="A170" s="24"/>
      <c r="B170" s="36"/>
      <c r="D170" s="18"/>
      <c r="E170" s="26"/>
      <c r="F170" s="2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</row>
    <row r="171" spans="1:112" s="17" customFormat="1" x14ac:dyDescent="0.2">
      <c r="A171" s="24"/>
      <c r="B171" s="36"/>
      <c r="D171" s="18"/>
      <c r="E171" s="26"/>
      <c r="F171" s="2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</row>
    <row r="172" spans="1:112" s="17" customFormat="1" x14ac:dyDescent="0.2">
      <c r="A172" s="24"/>
      <c r="B172" s="36"/>
      <c r="D172" s="18"/>
      <c r="E172" s="26"/>
      <c r="F172" s="2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</row>
    <row r="173" spans="1:112" s="6" customFormat="1" x14ac:dyDescent="0.2">
      <c r="A173" s="9"/>
      <c r="B173" s="40"/>
      <c r="D173" s="7"/>
      <c r="E173" s="3"/>
      <c r="F173" s="3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1:112" s="6" customFormat="1" x14ac:dyDescent="0.2">
      <c r="A174" s="9"/>
      <c r="B174" s="40"/>
      <c r="D174" s="7"/>
      <c r="E174" s="3"/>
      <c r="F174" s="3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1:112" s="6" customFormat="1" x14ac:dyDescent="0.2">
      <c r="A175" s="9"/>
      <c r="B175" s="40"/>
      <c r="D175" s="7"/>
      <c r="E175" s="3"/>
      <c r="F175" s="3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1:112" s="6" customFormat="1" x14ac:dyDescent="0.2">
      <c r="A176" s="9"/>
      <c r="B176" s="40"/>
      <c r="D176" s="7"/>
      <c r="E176" s="3"/>
      <c r="F176" s="3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1:77" s="6" customFormat="1" x14ac:dyDescent="0.2">
      <c r="A177" s="9"/>
      <c r="B177" s="40"/>
      <c r="D177" s="7"/>
      <c r="E177" s="3"/>
      <c r="F177" s="3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1:77" s="6" customFormat="1" x14ac:dyDescent="0.2">
      <c r="A178" s="9"/>
      <c r="B178" s="40"/>
      <c r="D178" s="7"/>
      <c r="E178" s="3"/>
      <c r="F178" s="3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1:77" s="6" customFormat="1" x14ac:dyDescent="0.2">
      <c r="A179" s="9"/>
      <c r="B179" s="40"/>
      <c r="D179" s="7"/>
      <c r="E179" s="3"/>
      <c r="F179" s="3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1:77" s="6" customFormat="1" x14ac:dyDescent="0.2">
      <c r="A180" s="9"/>
      <c r="B180" s="40"/>
      <c r="D180" s="7"/>
      <c r="E180" s="3"/>
      <c r="F180" s="3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1:77" s="6" customFormat="1" x14ac:dyDescent="0.2">
      <c r="A181" s="9"/>
      <c r="B181" s="40"/>
      <c r="D181" s="7"/>
      <c r="E181" s="3"/>
      <c r="F181" s="3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1:77" s="6" customFormat="1" x14ac:dyDescent="0.2">
      <c r="A182" s="9"/>
      <c r="B182" s="40"/>
      <c r="D182" s="7"/>
      <c r="E182" s="3"/>
      <c r="F182" s="3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1:77" s="6" customFormat="1" x14ac:dyDescent="0.2">
      <c r="A183" s="9"/>
      <c r="B183" s="40"/>
      <c r="D183" s="7"/>
      <c r="E183" s="3"/>
      <c r="F183" s="3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1:77" s="6" customFormat="1" x14ac:dyDescent="0.2">
      <c r="A184" s="9"/>
      <c r="B184" s="40"/>
      <c r="D184" s="7"/>
      <c r="E184" s="3"/>
      <c r="F184" s="3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1:77" s="6" customFormat="1" x14ac:dyDescent="0.2">
      <c r="A185" s="9"/>
      <c r="B185" s="40"/>
      <c r="D185" s="7"/>
      <c r="E185" s="3"/>
      <c r="F185" s="3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1:77" s="6" customFormat="1" x14ac:dyDescent="0.2">
      <c r="A186" s="9"/>
      <c r="B186" s="40"/>
      <c r="D186" s="7"/>
      <c r="E186" s="3"/>
      <c r="F186" s="3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1:77" s="6" customFormat="1" x14ac:dyDescent="0.2">
      <c r="A187" s="9"/>
      <c r="B187" s="40"/>
      <c r="D187" s="7"/>
      <c r="E187" s="3"/>
      <c r="F187" s="3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1:77" s="6" customFormat="1" x14ac:dyDescent="0.2">
      <c r="A188" s="9"/>
      <c r="B188" s="40"/>
      <c r="D188" s="7"/>
      <c r="E188" s="3"/>
      <c r="F188" s="3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1:77" s="6" customFormat="1" x14ac:dyDescent="0.2">
      <c r="A189" s="9"/>
      <c r="B189" s="40"/>
      <c r="D189" s="7"/>
      <c r="E189" s="3"/>
      <c r="F189" s="3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1:77" s="6" customFormat="1" x14ac:dyDescent="0.2">
      <c r="A190" s="9"/>
      <c r="B190" s="40"/>
      <c r="D190" s="7"/>
      <c r="E190" s="3"/>
      <c r="F190" s="3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1:77" s="6" customFormat="1" x14ac:dyDescent="0.2">
      <c r="A191" s="9"/>
      <c r="B191" s="40"/>
      <c r="D191" s="7"/>
      <c r="E191" s="3"/>
      <c r="F191" s="3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1:77" s="6" customFormat="1" x14ac:dyDescent="0.2">
      <c r="A192" s="9"/>
      <c r="B192" s="40"/>
      <c r="D192" s="7"/>
      <c r="E192" s="3"/>
      <c r="F192" s="3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1:77" s="6" customFormat="1" x14ac:dyDescent="0.2">
      <c r="A193" s="9"/>
      <c r="B193" s="40"/>
      <c r="D193" s="7"/>
      <c r="E193" s="3"/>
      <c r="F193" s="3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1:77" s="6" customFormat="1" x14ac:dyDescent="0.2">
      <c r="A194" s="9"/>
      <c r="B194" s="40"/>
      <c r="D194" s="7"/>
      <c r="E194" s="3"/>
      <c r="F194" s="3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1:77" s="6" customFormat="1" x14ac:dyDescent="0.2">
      <c r="A195" s="9"/>
      <c r="B195" s="40"/>
      <c r="D195" s="7"/>
      <c r="E195" s="3"/>
      <c r="F195" s="3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1:77" s="6" customFormat="1" x14ac:dyDescent="0.2">
      <c r="A196" s="9"/>
      <c r="B196" s="40"/>
      <c r="D196" s="7"/>
      <c r="E196" s="3"/>
      <c r="F196" s="3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1:77" s="6" customFormat="1" x14ac:dyDescent="0.2">
      <c r="A197" s="9"/>
      <c r="B197" s="40"/>
      <c r="D197" s="7"/>
      <c r="E197" s="3"/>
      <c r="F197" s="3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1:77" s="6" customFormat="1" x14ac:dyDescent="0.2">
      <c r="A198" s="9"/>
      <c r="B198" s="40"/>
      <c r="D198" s="7"/>
      <c r="E198" s="3"/>
      <c r="F198" s="3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1:77" s="6" customFormat="1" x14ac:dyDescent="0.2">
      <c r="A199" s="9"/>
      <c r="B199" s="40"/>
      <c r="D199" s="7"/>
      <c r="E199" s="3"/>
      <c r="F199" s="3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1:77" s="6" customFormat="1" x14ac:dyDescent="0.2">
      <c r="A200" s="9"/>
      <c r="B200" s="40"/>
      <c r="D200" s="7"/>
      <c r="E200" s="3"/>
      <c r="F200" s="3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1:77" s="6" customFormat="1" x14ac:dyDescent="0.2">
      <c r="A201" s="9"/>
      <c r="B201" s="40"/>
      <c r="D201" s="7"/>
      <c r="E201" s="3"/>
      <c r="F201" s="3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1:77" s="6" customFormat="1" x14ac:dyDescent="0.2">
      <c r="A202" s="9"/>
      <c r="B202" s="40"/>
      <c r="D202" s="7"/>
      <c r="E202" s="3"/>
      <c r="F202" s="3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1:77" s="6" customFormat="1" x14ac:dyDescent="0.2">
      <c r="A203" s="9"/>
      <c r="B203" s="40"/>
      <c r="D203" s="7"/>
      <c r="E203" s="3"/>
      <c r="F203" s="3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1:77" s="6" customFormat="1" x14ac:dyDescent="0.2">
      <c r="A204" s="9"/>
      <c r="B204" s="40"/>
      <c r="D204" s="7"/>
      <c r="E204" s="3"/>
      <c r="F204" s="3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1:77" s="6" customFormat="1" x14ac:dyDescent="0.2">
      <c r="A205" s="9"/>
      <c r="B205" s="40"/>
      <c r="D205" s="7"/>
      <c r="E205" s="3"/>
      <c r="F205" s="3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1:77" s="6" customFormat="1" x14ac:dyDescent="0.2">
      <c r="A206" s="9"/>
      <c r="B206" s="40"/>
      <c r="D206" s="7"/>
      <c r="E206" s="3"/>
      <c r="F206" s="3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1:77" s="6" customFormat="1" x14ac:dyDescent="0.2">
      <c r="A207" s="9"/>
      <c r="B207" s="40"/>
      <c r="D207" s="7"/>
      <c r="E207" s="3"/>
      <c r="F207" s="3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1:77" s="6" customFormat="1" x14ac:dyDescent="0.2">
      <c r="A208" s="9"/>
      <c r="B208" s="40"/>
      <c r="D208" s="7"/>
      <c r="E208" s="3"/>
      <c r="F208" s="3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1:77" s="6" customFormat="1" x14ac:dyDescent="0.2">
      <c r="A209" s="9"/>
      <c r="B209" s="40"/>
      <c r="D209" s="7"/>
      <c r="E209" s="3"/>
      <c r="F209" s="3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1:77" s="6" customFormat="1" x14ac:dyDescent="0.2">
      <c r="A210" s="9"/>
      <c r="B210" s="40"/>
      <c r="D210" s="7"/>
      <c r="E210" s="3"/>
      <c r="F210" s="3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1:77" s="6" customFormat="1" x14ac:dyDescent="0.2">
      <c r="A211" s="9"/>
      <c r="B211" s="40"/>
      <c r="D211" s="7"/>
      <c r="E211" s="3"/>
      <c r="F211" s="3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1:77" s="6" customFormat="1" x14ac:dyDescent="0.2">
      <c r="A212" s="9"/>
      <c r="B212" s="40"/>
      <c r="D212" s="7"/>
      <c r="E212" s="3"/>
      <c r="F212" s="3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1:77" s="6" customFormat="1" x14ac:dyDescent="0.2">
      <c r="A213" s="9"/>
      <c r="B213" s="40"/>
      <c r="D213" s="7"/>
      <c r="E213" s="3"/>
      <c r="F213" s="3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1:77" s="6" customFormat="1" x14ac:dyDescent="0.2">
      <c r="A214" s="9"/>
      <c r="B214" s="40"/>
      <c r="D214" s="7"/>
      <c r="E214" s="3"/>
      <c r="F214" s="3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1:77" s="6" customFormat="1" x14ac:dyDescent="0.2">
      <c r="A215" s="9"/>
      <c r="B215" s="40"/>
      <c r="D215" s="7"/>
      <c r="E215" s="3"/>
      <c r="F215" s="3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1:77" s="6" customFormat="1" x14ac:dyDescent="0.2">
      <c r="A216" s="9"/>
      <c r="B216" s="40"/>
      <c r="D216" s="7"/>
      <c r="E216" s="3"/>
      <c r="F216" s="3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1:77" s="6" customFormat="1" x14ac:dyDescent="0.2">
      <c r="A217" s="9"/>
      <c r="B217" s="40"/>
      <c r="D217" s="7"/>
      <c r="E217" s="3"/>
      <c r="F217" s="3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1:77" s="6" customFormat="1" x14ac:dyDescent="0.2">
      <c r="A218" s="9"/>
      <c r="B218" s="40"/>
      <c r="D218" s="7"/>
      <c r="E218" s="3"/>
      <c r="F218" s="3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1:77" s="6" customFormat="1" x14ac:dyDescent="0.2">
      <c r="A219" s="9"/>
      <c r="B219" s="40"/>
      <c r="D219" s="7"/>
      <c r="E219" s="3"/>
      <c r="F219" s="3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1:77" s="6" customFormat="1" x14ac:dyDescent="0.2">
      <c r="A220" s="9"/>
      <c r="B220" s="40"/>
      <c r="D220" s="7"/>
      <c r="E220" s="3"/>
      <c r="F220" s="3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1:77" s="6" customFormat="1" x14ac:dyDescent="0.2">
      <c r="A221" s="9"/>
      <c r="B221" s="40"/>
      <c r="D221" s="7"/>
      <c r="E221" s="3"/>
      <c r="F221" s="3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1:77" s="6" customFormat="1" x14ac:dyDescent="0.2">
      <c r="A222" s="9"/>
      <c r="B222" s="40"/>
      <c r="D222" s="7"/>
      <c r="E222" s="3"/>
      <c r="F222" s="3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1:77" s="6" customFormat="1" x14ac:dyDescent="0.2">
      <c r="A223" s="9"/>
      <c r="B223" s="40"/>
      <c r="D223" s="7"/>
      <c r="E223" s="3"/>
      <c r="F223" s="3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1:77" s="6" customFormat="1" x14ac:dyDescent="0.2">
      <c r="A224" s="9"/>
      <c r="B224" s="40"/>
      <c r="D224" s="7"/>
      <c r="E224" s="3"/>
      <c r="F224" s="3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1:77" s="6" customFormat="1" x14ac:dyDescent="0.2">
      <c r="A225" s="9"/>
      <c r="B225" s="40"/>
      <c r="D225" s="7"/>
      <c r="E225" s="3"/>
      <c r="F225" s="3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1:77" s="6" customFormat="1" x14ac:dyDescent="0.2">
      <c r="A226" s="9"/>
      <c r="B226" s="40"/>
      <c r="D226" s="7"/>
      <c r="E226" s="3"/>
      <c r="F226" s="3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1:77" s="6" customFormat="1" x14ac:dyDescent="0.2">
      <c r="A227" s="9"/>
      <c r="B227" s="40"/>
      <c r="D227" s="7"/>
      <c r="E227" s="3"/>
      <c r="F227" s="3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1:77" s="6" customFormat="1" x14ac:dyDescent="0.2">
      <c r="A228" s="9"/>
      <c r="B228" s="40"/>
      <c r="D228" s="7"/>
      <c r="E228" s="3"/>
      <c r="F228" s="3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1:77" s="6" customFormat="1" x14ac:dyDescent="0.2">
      <c r="A229" s="9"/>
      <c r="B229" s="40"/>
      <c r="D229" s="7"/>
      <c r="E229" s="3"/>
      <c r="F229" s="3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1:77" s="6" customFormat="1" x14ac:dyDescent="0.2">
      <c r="A230" s="9"/>
      <c r="B230" s="40"/>
      <c r="D230" s="7"/>
      <c r="E230" s="3"/>
      <c r="F230" s="3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1:77" s="6" customFormat="1" x14ac:dyDescent="0.2">
      <c r="A231" s="9"/>
      <c r="B231" s="40"/>
      <c r="D231" s="7"/>
      <c r="E231" s="3"/>
      <c r="F231" s="3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1:77" s="6" customFormat="1" x14ac:dyDescent="0.2">
      <c r="A232" s="9"/>
      <c r="B232" s="40"/>
      <c r="D232" s="7"/>
      <c r="E232" s="3"/>
      <c r="F232" s="3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1:77" s="6" customFormat="1" x14ac:dyDescent="0.2">
      <c r="A233" s="9"/>
      <c r="B233" s="40"/>
      <c r="D233" s="7"/>
      <c r="E233" s="3"/>
      <c r="F233" s="3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1:77" s="6" customFormat="1" x14ac:dyDescent="0.2">
      <c r="A234" s="9"/>
      <c r="B234" s="40"/>
      <c r="D234" s="7"/>
      <c r="E234" s="3"/>
      <c r="F234" s="3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1:77" s="6" customFormat="1" x14ac:dyDescent="0.2">
      <c r="A235" s="9"/>
      <c r="B235" s="40"/>
      <c r="D235" s="7"/>
      <c r="E235" s="3"/>
      <c r="F235" s="3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1:77" s="6" customFormat="1" x14ac:dyDescent="0.2">
      <c r="A236" s="9"/>
      <c r="B236" s="40"/>
      <c r="D236" s="7"/>
      <c r="E236" s="3"/>
      <c r="F236" s="3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1:77" s="6" customFormat="1" x14ac:dyDescent="0.2">
      <c r="A237" s="9"/>
      <c r="B237" s="40"/>
      <c r="D237" s="7"/>
      <c r="E237" s="3"/>
      <c r="F237" s="3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1:77" s="6" customFormat="1" x14ac:dyDescent="0.2">
      <c r="A238" s="9"/>
      <c r="B238" s="40"/>
      <c r="D238" s="7"/>
      <c r="E238" s="3"/>
      <c r="F238" s="3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1:77" s="6" customFormat="1" x14ac:dyDescent="0.2">
      <c r="A239" s="9"/>
      <c r="B239" s="40"/>
      <c r="D239" s="7"/>
      <c r="E239" s="3"/>
      <c r="F239" s="3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1:77" s="6" customFormat="1" x14ac:dyDescent="0.2">
      <c r="A240" s="9"/>
      <c r="B240" s="40"/>
      <c r="D240" s="7"/>
      <c r="E240" s="3"/>
      <c r="F240" s="3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1:77" s="6" customFormat="1" x14ac:dyDescent="0.2">
      <c r="A241" s="9"/>
      <c r="B241" s="40"/>
      <c r="D241" s="7"/>
      <c r="E241" s="3"/>
      <c r="F241" s="3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1:77" s="6" customFormat="1" x14ac:dyDescent="0.2">
      <c r="A242" s="9"/>
      <c r="B242" s="40"/>
      <c r="D242" s="7"/>
      <c r="E242" s="3"/>
      <c r="F242" s="3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1:77" s="6" customFormat="1" x14ac:dyDescent="0.2">
      <c r="A243" s="9"/>
      <c r="B243" s="40"/>
      <c r="D243" s="7"/>
      <c r="E243" s="3"/>
      <c r="F243" s="3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1:77" s="6" customFormat="1" x14ac:dyDescent="0.2">
      <c r="A244" s="9"/>
      <c r="B244" s="40"/>
      <c r="D244" s="7"/>
      <c r="E244" s="3"/>
      <c r="F244" s="3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1:77" s="6" customFormat="1" x14ac:dyDescent="0.2">
      <c r="A245" s="9"/>
      <c r="B245" s="40"/>
      <c r="D245" s="7"/>
      <c r="E245" s="3"/>
      <c r="F245" s="3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1:77" s="6" customFormat="1" x14ac:dyDescent="0.2">
      <c r="A246" s="9"/>
      <c r="B246" s="40"/>
      <c r="D246" s="7"/>
      <c r="E246" s="3"/>
      <c r="F246" s="3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1:77" s="6" customFormat="1" x14ac:dyDescent="0.2">
      <c r="A247" s="9"/>
      <c r="B247" s="40"/>
      <c r="D247" s="7"/>
      <c r="E247" s="3"/>
      <c r="F247" s="3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1:77" s="6" customFormat="1" x14ac:dyDescent="0.2">
      <c r="A248" s="9"/>
      <c r="B248" s="40"/>
      <c r="D248" s="7"/>
      <c r="E248" s="3"/>
      <c r="F248" s="3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1:77" s="6" customFormat="1" x14ac:dyDescent="0.2">
      <c r="A249" s="9"/>
      <c r="B249" s="40"/>
      <c r="D249" s="7"/>
      <c r="E249" s="3"/>
      <c r="F249" s="3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1:77" s="6" customFormat="1" x14ac:dyDescent="0.2">
      <c r="A250" s="9"/>
      <c r="B250" s="40"/>
      <c r="D250" s="7"/>
      <c r="E250" s="3"/>
      <c r="F250" s="3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1:77" s="6" customFormat="1" x14ac:dyDescent="0.2">
      <c r="A251" s="9"/>
      <c r="B251" s="40"/>
      <c r="D251" s="7"/>
      <c r="E251" s="3"/>
      <c r="F251" s="3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1:77" s="6" customFormat="1" x14ac:dyDescent="0.2">
      <c r="A252" s="9"/>
      <c r="B252" s="40"/>
      <c r="D252" s="7"/>
      <c r="E252" s="3"/>
      <c r="F252" s="3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1:77" s="6" customFormat="1" x14ac:dyDescent="0.2">
      <c r="A253" s="9"/>
      <c r="B253" s="40"/>
      <c r="D253" s="7"/>
      <c r="E253" s="3"/>
      <c r="F253" s="3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1:77" s="6" customFormat="1" x14ac:dyDescent="0.2">
      <c r="A254" s="9"/>
      <c r="B254" s="40"/>
      <c r="D254" s="7"/>
      <c r="E254" s="3"/>
      <c r="F254" s="3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1:77" s="6" customFormat="1" x14ac:dyDescent="0.2">
      <c r="A255" s="9"/>
      <c r="B255" s="40"/>
      <c r="D255" s="7"/>
      <c r="E255" s="3"/>
      <c r="F255" s="3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1:77" s="6" customFormat="1" x14ac:dyDescent="0.2">
      <c r="A256" s="9"/>
      <c r="B256" s="40"/>
      <c r="D256" s="7"/>
      <c r="E256" s="3"/>
      <c r="F256" s="3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1:77" s="6" customFormat="1" x14ac:dyDescent="0.2">
      <c r="A257" s="9"/>
      <c r="B257" s="40"/>
      <c r="D257" s="7"/>
      <c r="E257" s="3"/>
      <c r="F257" s="3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1:77" s="6" customFormat="1" x14ac:dyDescent="0.2">
      <c r="A258" s="9"/>
      <c r="B258" s="40"/>
      <c r="D258" s="7"/>
      <c r="E258" s="3"/>
      <c r="F258" s="3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1:77" s="6" customFormat="1" x14ac:dyDescent="0.2">
      <c r="A259" s="9"/>
      <c r="B259" s="40"/>
      <c r="D259" s="7"/>
      <c r="E259" s="3"/>
      <c r="F259" s="3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1:77" s="6" customFormat="1" x14ac:dyDescent="0.2">
      <c r="A260" s="9"/>
      <c r="B260" s="40"/>
      <c r="D260" s="7"/>
      <c r="E260" s="3"/>
      <c r="F260" s="3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1:77" s="6" customFormat="1" x14ac:dyDescent="0.2">
      <c r="A261" s="9"/>
      <c r="B261" s="40"/>
      <c r="D261" s="7"/>
      <c r="E261" s="3"/>
      <c r="F261" s="3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1:77" s="6" customFormat="1" x14ac:dyDescent="0.2">
      <c r="A262" s="9"/>
      <c r="B262" s="40"/>
      <c r="D262" s="7"/>
      <c r="E262" s="3"/>
      <c r="F262" s="3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1:77" s="6" customFormat="1" x14ac:dyDescent="0.2">
      <c r="A263" s="9"/>
      <c r="B263" s="40"/>
      <c r="D263" s="7"/>
      <c r="E263" s="3"/>
      <c r="F263" s="3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1:77" s="6" customFormat="1" x14ac:dyDescent="0.2">
      <c r="A264" s="9"/>
      <c r="B264" s="40"/>
      <c r="D264" s="7"/>
      <c r="E264" s="3"/>
      <c r="F264" s="3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1:77" s="6" customFormat="1" x14ac:dyDescent="0.2">
      <c r="A265" s="9"/>
      <c r="B265" s="40"/>
      <c r="D265" s="7"/>
      <c r="E265" s="3"/>
      <c r="F265" s="3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1:77" s="6" customFormat="1" x14ac:dyDescent="0.2">
      <c r="A266" s="9"/>
      <c r="B266" s="40"/>
      <c r="D266" s="7"/>
      <c r="E266" s="3"/>
      <c r="F266" s="3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1:77" s="6" customFormat="1" x14ac:dyDescent="0.2">
      <c r="A267" s="9"/>
      <c r="B267" s="40"/>
      <c r="D267" s="7"/>
      <c r="E267" s="3"/>
      <c r="F267" s="3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1:77" s="6" customFormat="1" x14ac:dyDescent="0.2">
      <c r="A268" s="9"/>
      <c r="B268" s="40"/>
      <c r="D268" s="7"/>
      <c r="E268" s="3"/>
      <c r="F268" s="3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1:77" s="6" customFormat="1" x14ac:dyDescent="0.2">
      <c r="A269" s="9"/>
      <c r="B269" s="40"/>
      <c r="D269" s="7"/>
      <c r="E269" s="3"/>
      <c r="F269" s="3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1:77" s="6" customFormat="1" x14ac:dyDescent="0.2">
      <c r="A270" s="9"/>
      <c r="B270" s="40"/>
      <c r="D270" s="7"/>
      <c r="E270" s="3"/>
      <c r="F270" s="3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1:77" s="6" customFormat="1" x14ac:dyDescent="0.2">
      <c r="A271" s="9"/>
      <c r="B271" s="40"/>
      <c r="D271" s="7"/>
      <c r="E271" s="3"/>
      <c r="F271" s="3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1:77" s="6" customFormat="1" x14ac:dyDescent="0.2">
      <c r="A272" s="9"/>
      <c r="B272" s="40"/>
      <c r="D272" s="7"/>
      <c r="E272" s="3"/>
      <c r="F272" s="3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1:77" s="6" customFormat="1" x14ac:dyDescent="0.2">
      <c r="A273" s="9"/>
      <c r="B273" s="40"/>
      <c r="D273" s="7"/>
      <c r="E273" s="3"/>
      <c r="F273" s="3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1:77" s="6" customFormat="1" x14ac:dyDescent="0.2">
      <c r="A274" s="9"/>
      <c r="B274" s="40"/>
      <c r="D274" s="7"/>
      <c r="E274" s="3"/>
      <c r="F274" s="3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1:77" s="6" customFormat="1" x14ac:dyDescent="0.2">
      <c r="A275" s="9"/>
      <c r="B275" s="40"/>
      <c r="D275" s="7"/>
      <c r="E275" s="3"/>
      <c r="F275" s="3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1:77" s="6" customFormat="1" x14ac:dyDescent="0.2">
      <c r="A276" s="9"/>
      <c r="B276" s="40"/>
      <c r="D276" s="7"/>
      <c r="E276" s="3"/>
      <c r="F276" s="3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1:77" s="6" customFormat="1" x14ac:dyDescent="0.2">
      <c r="A277" s="9"/>
      <c r="B277" s="40"/>
      <c r="D277" s="7"/>
      <c r="E277" s="3"/>
      <c r="F277" s="3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1:77" s="6" customFormat="1" x14ac:dyDescent="0.2">
      <c r="A278" s="9"/>
      <c r="B278" s="40"/>
      <c r="D278" s="7"/>
      <c r="E278" s="3"/>
      <c r="F278" s="3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1:77" s="6" customFormat="1" x14ac:dyDescent="0.2">
      <c r="A279" s="9"/>
      <c r="B279" s="40"/>
      <c r="D279" s="7"/>
      <c r="E279" s="3"/>
      <c r="F279" s="3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1:77" s="6" customFormat="1" x14ac:dyDescent="0.2">
      <c r="A280" s="9"/>
      <c r="B280" s="40"/>
      <c r="D280" s="7"/>
      <c r="E280" s="3"/>
      <c r="F280" s="3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1:77" s="6" customFormat="1" x14ac:dyDescent="0.2">
      <c r="A281" s="9"/>
      <c r="B281" s="40"/>
      <c r="D281" s="7"/>
      <c r="E281" s="3"/>
      <c r="F281" s="3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1:77" s="6" customFormat="1" x14ac:dyDescent="0.2">
      <c r="A282" s="9"/>
      <c r="B282" s="40"/>
      <c r="D282" s="7"/>
      <c r="E282" s="3"/>
      <c r="F282" s="3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1:77" s="6" customFormat="1" x14ac:dyDescent="0.2">
      <c r="A283" s="9"/>
      <c r="B283" s="40"/>
      <c r="D283" s="7"/>
      <c r="E283" s="3"/>
      <c r="F283" s="3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1:77" s="6" customFormat="1" x14ac:dyDescent="0.2">
      <c r="A284" s="9"/>
      <c r="B284" s="40"/>
      <c r="D284" s="7"/>
      <c r="E284" s="3"/>
      <c r="F284" s="3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95" spans="1:102" ht="13.5" thickBot="1" x14ac:dyDescent="0.25"/>
    <row r="296" spans="1:102" s="2" customFormat="1" ht="13.5" thickTop="1" x14ac:dyDescent="0.2">
      <c r="A296" s="9"/>
      <c r="B296" s="40"/>
      <c r="C296"/>
      <c r="D296" s="8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/>
      <c r="CA296"/>
      <c r="CB296"/>
      <c r="CC296"/>
      <c r="CD296"/>
      <c r="CE296"/>
      <c r="CF296"/>
      <c r="CG296" s="2">
        <f t="shared" ref="CG296:CX296" si="7">COUNTA(CG3:CG295)-COUNTIF(CG3:CG295,"intertidal")</f>
        <v>0</v>
      </c>
      <c r="CH296" s="2">
        <f t="shared" si="7"/>
        <v>0</v>
      </c>
      <c r="CI296" s="2">
        <f t="shared" si="7"/>
        <v>0</v>
      </c>
      <c r="CJ296" s="2">
        <f t="shared" si="7"/>
        <v>0</v>
      </c>
      <c r="CK296" s="2">
        <f t="shared" si="7"/>
        <v>0</v>
      </c>
      <c r="CL296" s="2">
        <f t="shared" si="7"/>
        <v>0</v>
      </c>
      <c r="CM296" s="2">
        <f t="shared" si="7"/>
        <v>0</v>
      </c>
      <c r="CN296" s="2">
        <f t="shared" si="7"/>
        <v>0</v>
      </c>
      <c r="CO296" s="2">
        <f t="shared" si="7"/>
        <v>0</v>
      </c>
      <c r="CP296" s="2">
        <f t="shared" si="7"/>
        <v>0</v>
      </c>
      <c r="CQ296" s="2">
        <f t="shared" si="7"/>
        <v>0</v>
      </c>
      <c r="CR296" s="2">
        <f t="shared" si="7"/>
        <v>0</v>
      </c>
      <c r="CS296" s="2">
        <f t="shared" si="7"/>
        <v>0</v>
      </c>
      <c r="CT296" s="2">
        <f t="shared" si="7"/>
        <v>0</v>
      </c>
      <c r="CU296" s="2">
        <f t="shared" si="7"/>
        <v>0</v>
      </c>
      <c r="CV296" s="2">
        <f t="shared" si="7"/>
        <v>0</v>
      </c>
      <c r="CW296" s="2">
        <f t="shared" si="7"/>
        <v>0</v>
      </c>
      <c r="CX296" s="2">
        <f t="shared" si="7"/>
        <v>0</v>
      </c>
    </row>
    <row r="1048576" spans="4:4" x14ac:dyDescent="0.2">
      <c r="D1048576" s="32"/>
    </row>
  </sheetData>
  <sortState ref="A3:BP81">
    <sortCondition ref="D3"/>
  </sortState>
  <mergeCells count="1">
    <mergeCell ref="D1:F1"/>
  </mergeCells>
  <phoneticPr fontId="7" type="noConversion"/>
  <conditionalFormatting sqref="D71">
    <cfRule type="duplicateValues" dxfId="22" priority="14"/>
  </conditionalFormatting>
  <conditionalFormatting sqref="D71">
    <cfRule type="duplicateValues" dxfId="21" priority="13"/>
  </conditionalFormatting>
  <conditionalFormatting sqref="D72">
    <cfRule type="duplicateValues" dxfId="20" priority="12"/>
  </conditionalFormatting>
  <conditionalFormatting sqref="D72">
    <cfRule type="duplicateValues" dxfId="19" priority="11"/>
  </conditionalFormatting>
  <conditionalFormatting sqref="D1048576">
    <cfRule type="duplicateValues" dxfId="18" priority="1"/>
  </conditionalFormatting>
  <conditionalFormatting sqref="D1048576">
    <cfRule type="duplicateValues" dxfId="17" priority="2"/>
  </conditionalFormatting>
  <conditionalFormatting sqref="D69:D70 D73:D76">
    <cfRule type="duplicateValues" dxfId="16" priority="49"/>
  </conditionalFormatting>
  <conditionalFormatting sqref="D69:D70 D73:D76">
    <cfRule type="duplicateValues" dxfId="15" priority="56"/>
  </conditionalFormatting>
  <pageMargins left="0.71" right="0.71" top="0.75000000000000011" bottom="0.75000000000000011" header="0.31" footer="0.31"/>
  <pageSetup paperSize="9" scale="10" orientation="portrait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opLeftCell="A31" workbookViewId="0">
      <selection activeCell="A69" sqref="A69"/>
    </sheetView>
  </sheetViews>
  <sheetFormatPr defaultColWidth="8.85546875" defaultRowHeight="12.75" x14ac:dyDescent="0.2"/>
  <cols>
    <col min="1" max="1" width="25.42578125" customWidth="1"/>
    <col min="2" max="2" width="14" customWidth="1"/>
    <col min="3" max="3" width="78.140625" customWidth="1"/>
  </cols>
  <sheetData>
    <row r="1" spans="1:5" x14ac:dyDescent="0.2">
      <c r="A1" s="11" t="s">
        <v>7</v>
      </c>
      <c r="B1" s="10" t="s">
        <v>2</v>
      </c>
      <c r="C1" s="10" t="s">
        <v>6</v>
      </c>
      <c r="D1" s="11" t="s">
        <v>0</v>
      </c>
      <c r="E1" s="34" t="s">
        <v>1</v>
      </c>
    </row>
    <row r="2" spans="1:5" x14ac:dyDescent="0.2">
      <c r="A2" s="41" t="s">
        <v>11</v>
      </c>
      <c r="B2" s="43" t="s">
        <v>23</v>
      </c>
      <c r="C2" s="43" t="s">
        <v>24</v>
      </c>
      <c r="D2" s="41" t="s">
        <v>4</v>
      </c>
      <c r="E2" s="41" t="s">
        <v>8</v>
      </c>
    </row>
    <row r="3" spans="1:5" x14ac:dyDescent="0.2">
      <c r="A3" s="41" t="s">
        <v>11</v>
      </c>
      <c r="B3" s="43" t="s">
        <v>25</v>
      </c>
      <c r="C3" s="43" t="s">
        <v>26</v>
      </c>
      <c r="D3" s="41" t="s">
        <v>4</v>
      </c>
      <c r="E3" s="46" t="s">
        <v>8</v>
      </c>
    </row>
    <row r="4" spans="1:5" x14ac:dyDescent="0.2">
      <c r="A4" s="41" t="s">
        <v>11</v>
      </c>
      <c r="B4" s="43" t="s">
        <v>27</v>
      </c>
      <c r="C4" s="43" t="s">
        <v>28</v>
      </c>
      <c r="D4" s="41" t="s">
        <v>4</v>
      </c>
      <c r="E4" s="41" t="s">
        <v>8</v>
      </c>
    </row>
    <row r="5" spans="1:5" x14ac:dyDescent="0.2">
      <c r="A5" s="41" t="s">
        <v>22</v>
      </c>
      <c r="B5" s="43" t="s">
        <v>29</v>
      </c>
      <c r="C5" s="43" t="s">
        <v>30</v>
      </c>
      <c r="D5" s="41" t="s">
        <v>9</v>
      </c>
      <c r="E5" s="41" t="s">
        <v>8</v>
      </c>
    </row>
    <row r="6" spans="1:5" x14ac:dyDescent="0.2">
      <c r="A6" s="41" t="s">
        <v>31</v>
      </c>
      <c r="B6" s="41" t="s">
        <v>11</v>
      </c>
      <c r="C6" s="43" t="s">
        <v>32</v>
      </c>
      <c r="D6" s="41" t="s">
        <v>10</v>
      </c>
      <c r="E6" s="43"/>
    </row>
    <row r="7" spans="1:5" x14ac:dyDescent="0.2">
      <c r="A7" s="41" t="s">
        <v>11</v>
      </c>
      <c r="B7" s="43" t="s">
        <v>33</v>
      </c>
      <c r="C7" s="43" t="s">
        <v>34</v>
      </c>
      <c r="D7" s="41" t="s">
        <v>4</v>
      </c>
      <c r="E7" s="41" t="s">
        <v>8</v>
      </c>
    </row>
    <row r="8" spans="1:5" x14ac:dyDescent="0.2">
      <c r="A8" s="41" t="s">
        <v>11</v>
      </c>
      <c r="B8" s="41" t="s">
        <v>11</v>
      </c>
      <c r="C8" s="43" t="s">
        <v>35</v>
      </c>
      <c r="D8" s="41" t="s">
        <v>4</v>
      </c>
      <c r="E8" s="42"/>
    </row>
    <row r="9" spans="1:5" x14ac:dyDescent="0.2">
      <c r="A9" s="41"/>
      <c r="B9" s="41"/>
      <c r="C9" s="43" t="s">
        <v>35</v>
      </c>
      <c r="D9" s="41" t="s">
        <v>4</v>
      </c>
      <c r="E9" s="43"/>
    </row>
    <row r="10" spans="1:5" x14ac:dyDescent="0.2">
      <c r="A10" s="46" t="s">
        <v>11</v>
      </c>
      <c r="B10" s="41" t="s">
        <v>36</v>
      </c>
      <c r="C10" s="43" t="s">
        <v>37</v>
      </c>
      <c r="D10" s="41" t="s">
        <v>4</v>
      </c>
      <c r="E10" s="43" t="s">
        <v>8</v>
      </c>
    </row>
    <row r="11" spans="1:5" x14ac:dyDescent="0.2">
      <c r="A11" s="41" t="s">
        <v>11</v>
      </c>
      <c r="B11" s="41" t="s">
        <v>11</v>
      </c>
      <c r="C11" s="43" t="s">
        <v>38</v>
      </c>
      <c r="D11" s="41" t="s">
        <v>4</v>
      </c>
      <c r="E11" s="41"/>
    </row>
    <row r="12" spans="1:5" x14ac:dyDescent="0.2">
      <c r="A12" s="41" t="s">
        <v>11</v>
      </c>
      <c r="B12" s="41" t="s">
        <v>39</v>
      </c>
      <c r="C12" s="43" t="s">
        <v>40</v>
      </c>
      <c r="D12" s="40" t="s">
        <v>4</v>
      </c>
      <c r="E12" s="40" t="s">
        <v>8</v>
      </c>
    </row>
    <row r="13" spans="1:5" x14ac:dyDescent="0.2">
      <c r="A13" s="41" t="s">
        <v>11</v>
      </c>
      <c r="B13" s="41" t="s">
        <v>41</v>
      </c>
      <c r="C13" s="43" t="s">
        <v>42</v>
      </c>
      <c r="D13" s="41" t="s">
        <v>4</v>
      </c>
      <c r="E13" s="41" t="s">
        <v>8</v>
      </c>
    </row>
    <row r="14" spans="1:5" x14ac:dyDescent="0.2">
      <c r="A14" s="41" t="s">
        <v>11</v>
      </c>
      <c r="B14" s="41" t="s">
        <v>43</v>
      </c>
      <c r="C14" s="43" t="s">
        <v>44</v>
      </c>
      <c r="D14" s="41" t="s">
        <v>4</v>
      </c>
      <c r="E14" s="41" t="s">
        <v>8</v>
      </c>
    </row>
    <row r="15" spans="1:5" x14ac:dyDescent="0.2">
      <c r="A15" s="41" t="s">
        <v>11</v>
      </c>
      <c r="B15" s="46" t="s">
        <v>45</v>
      </c>
      <c r="C15" s="43" t="s">
        <v>46</v>
      </c>
      <c r="D15" s="41" t="s">
        <v>4</v>
      </c>
      <c r="E15" s="41" t="s">
        <v>8</v>
      </c>
    </row>
    <row r="16" spans="1:5" x14ac:dyDescent="0.2">
      <c r="A16" s="41" t="s">
        <v>12</v>
      </c>
      <c r="B16" s="46" t="s">
        <v>47</v>
      </c>
      <c r="C16" s="43" t="s">
        <v>48</v>
      </c>
      <c r="D16" s="41" t="s">
        <v>9</v>
      </c>
      <c r="E16" s="41" t="s">
        <v>8</v>
      </c>
    </row>
    <row r="17" spans="1:5" x14ac:dyDescent="0.2">
      <c r="A17" s="41" t="s">
        <v>13</v>
      </c>
      <c r="B17" s="46" t="s">
        <v>49</v>
      </c>
      <c r="C17" s="43" t="s">
        <v>50</v>
      </c>
      <c r="D17" s="41" t="s">
        <v>10</v>
      </c>
      <c r="E17" s="40" t="s">
        <v>8</v>
      </c>
    </row>
    <row r="18" spans="1:5" x14ac:dyDescent="0.2">
      <c r="A18" s="41" t="s">
        <v>51</v>
      </c>
      <c r="B18" s="46" t="s">
        <v>52</v>
      </c>
      <c r="C18" s="43" t="s">
        <v>53</v>
      </c>
      <c r="D18" s="46" t="s">
        <v>15</v>
      </c>
      <c r="E18" s="40" t="s">
        <v>8</v>
      </c>
    </row>
    <row r="19" spans="1:5" x14ac:dyDescent="0.2">
      <c r="A19" s="41" t="s">
        <v>14</v>
      </c>
      <c r="B19" s="46" t="s">
        <v>54</v>
      </c>
      <c r="C19" s="45" t="s">
        <v>55</v>
      </c>
      <c r="D19" s="41" t="s">
        <v>10</v>
      </c>
      <c r="E19" s="40" t="s">
        <v>8</v>
      </c>
    </row>
    <row r="20" spans="1:5" x14ac:dyDescent="0.2">
      <c r="A20" s="41" t="s">
        <v>11</v>
      </c>
      <c r="B20" s="46" t="s">
        <v>56</v>
      </c>
      <c r="C20" s="45" t="s">
        <v>57</v>
      </c>
      <c r="D20" s="41" t="s">
        <v>4</v>
      </c>
      <c r="E20" s="40" t="s">
        <v>8</v>
      </c>
    </row>
    <row r="21" spans="1:5" x14ac:dyDescent="0.2">
      <c r="A21" s="46" t="s">
        <v>11</v>
      </c>
      <c r="B21" s="46" t="s">
        <v>11</v>
      </c>
      <c r="C21" s="45" t="s">
        <v>58</v>
      </c>
      <c r="D21" s="46" t="s">
        <v>4</v>
      </c>
      <c r="E21" s="40"/>
    </row>
    <row r="22" spans="1:5" x14ac:dyDescent="0.2">
      <c r="A22" s="46" t="s">
        <v>11</v>
      </c>
      <c r="B22" s="46" t="s">
        <v>59</v>
      </c>
      <c r="C22" s="45" t="s">
        <v>60</v>
      </c>
      <c r="D22" s="40" t="s">
        <v>4</v>
      </c>
      <c r="E22" s="46" t="s">
        <v>8</v>
      </c>
    </row>
    <row r="23" spans="1:5" x14ac:dyDescent="0.2">
      <c r="A23" s="46" t="s">
        <v>11</v>
      </c>
      <c r="B23" s="40" t="s">
        <v>61</v>
      </c>
      <c r="C23" s="45" t="s">
        <v>62</v>
      </c>
      <c r="D23" s="40" t="s">
        <v>4</v>
      </c>
      <c r="E23" s="41" t="s">
        <v>8</v>
      </c>
    </row>
    <row r="24" spans="1:5" x14ac:dyDescent="0.2">
      <c r="A24" s="46" t="s">
        <v>11</v>
      </c>
      <c r="B24" s="46" t="s">
        <v>63</v>
      </c>
      <c r="C24" s="45" t="s">
        <v>64</v>
      </c>
      <c r="D24" s="46" t="s">
        <v>4</v>
      </c>
      <c r="E24" s="46" t="s">
        <v>8</v>
      </c>
    </row>
    <row r="25" spans="1:5" x14ac:dyDescent="0.2">
      <c r="A25" s="46" t="s">
        <v>11</v>
      </c>
      <c r="B25" s="40" t="s">
        <v>65</v>
      </c>
      <c r="C25" s="42" t="s">
        <v>66</v>
      </c>
      <c r="D25" s="40" t="s">
        <v>4</v>
      </c>
      <c r="E25" s="46" t="s">
        <v>8</v>
      </c>
    </row>
    <row r="26" spans="1:5" x14ac:dyDescent="0.2">
      <c r="A26" s="46" t="s">
        <v>11</v>
      </c>
      <c r="B26" s="46" t="s">
        <v>67</v>
      </c>
      <c r="C26" s="45" t="s">
        <v>68</v>
      </c>
      <c r="D26" s="46" t="s">
        <v>4</v>
      </c>
      <c r="E26" s="46" t="s">
        <v>8</v>
      </c>
    </row>
    <row r="27" spans="1:5" x14ac:dyDescent="0.2">
      <c r="A27" s="41" t="s">
        <v>11</v>
      </c>
      <c r="B27" s="46" t="s">
        <v>69</v>
      </c>
      <c r="C27" s="45" t="s">
        <v>70</v>
      </c>
      <c r="D27" s="41" t="s">
        <v>4</v>
      </c>
      <c r="E27" s="41" t="s">
        <v>8</v>
      </c>
    </row>
    <row r="28" spans="1:5" x14ac:dyDescent="0.2">
      <c r="A28" s="40" t="s">
        <v>11</v>
      </c>
      <c r="B28" s="46" t="s">
        <v>71</v>
      </c>
      <c r="C28" s="45" t="s">
        <v>72</v>
      </c>
      <c r="D28" s="41" t="s">
        <v>4</v>
      </c>
      <c r="E28" s="41" t="s">
        <v>8</v>
      </c>
    </row>
    <row r="29" spans="1:5" x14ac:dyDescent="0.2">
      <c r="A29" s="41" t="s">
        <v>16</v>
      </c>
      <c r="B29" s="46" t="s">
        <v>73</v>
      </c>
      <c r="C29" s="45" t="s">
        <v>74</v>
      </c>
      <c r="D29" s="41" t="s">
        <v>15</v>
      </c>
      <c r="E29" s="41" t="s">
        <v>8</v>
      </c>
    </row>
    <row r="30" spans="1:5" x14ac:dyDescent="0.2">
      <c r="A30" s="46" t="s">
        <v>11</v>
      </c>
      <c r="B30" s="46" t="s">
        <v>75</v>
      </c>
      <c r="C30" s="45" t="s">
        <v>76</v>
      </c>
      <c r="D30" s="41" t="s">
        <v>15</v>
      </c>
      <c r="E30" s="41" t="s">
        <v>8</v>
      </c>
    </row>
    <row r="31" spans="1:5" x14ac:dyDescent="0.2">
      <c r="A31" s="48" t="s">
        <v>77</v>
      </c>
      <c r="B31" s="46" t="s">
        <v>78</v>
      </c>
      <c r="C31" s="45" t="s">
        <v>79</v>
      </c>
      <c r="D31" s="41" t="s">
        <v>80</v>
      </c>
      <c r="E31" s="40" t="s">
        <v>8</v>
      </c>
    </row>
    <row r="32" spans="1:5" x14ac:dyDescent="0.2">
      <c r="A32" s="41" t="s">
        <v>17</v>
      </c>
      <c r="B32" s="46" t="s">
        <v>81</v>
      </c>
      <c r="C32" s="45" t="s">
        <v>82</v>
      </c>
      <c r="D32" s="41" t="s">
        <v>15</v>
      </c>
      <c r="E32" s="40" t="s">
        <v>8</v>
      </c>
    </row>
    <row r="33" spans="1:5" x14ac:dyDescent="0.2">
      <c r="A33" s="40" t="s">
        <v>11</v>
      </c>
      <c r="B33" s="46" t="s">
        <v>83</v>
      </c>
      <c r="C33" s="45" t="s">
        <v>84</v>
      </c>
      <c r="D33" s="41" t="s">
        <v>4</v>
      </c>
      <c r="E33" s="46" t="s">
        <v>8</v>
      </c>
    </row>
    <row r="34" spans="1:5" x14ac:dyDescent="0.2">
      <c r="A34" s="40" t="s">
        <v>11</v>
      </c>
      <c r="B34" s="46" t="s">
        <v>85</v>
      </c>
      <c r="C34" s="42" t="s">
        <v>86</v>
      </c>
      <c r="D34" s="40" t="s">
        <v>4</v>
      </c>
      <c r="E34" s="40" t="s">
        <v>8</v>
      </c>
    </row>
    <row r="35" spans="1:5" x14ac:dyDescent="0.2">
      <c r="A35" s="40" t="s">
        <v>11</v>
      </c>
      <c r="B35" s="46" t="s">
        <v>87</v>
      </c>
      <c r="C35" s="42" t="s">
        <v>88</v>
      </c>
      <c r="D35" s="40" t="s">
        <v>4</v>
      </c>
      <c r="E35" s="40" t="s">
        <v>8</v>
      </c>
    </row>
    <row r="36" spans="1:5" x14ac:dyDescent="0.2">
      <c r="A36" s="40" t="s">
        <v>11</v>
      </c>
      <c r="B36" s="46" t="s">
        <v>89</v>
      </c>
      <c r="C36" s="42" t="s">
        <v>90</v>
      </c>
      <c r="D36" s="41" t="s">
        <v>4</v>
      </c>
      <c r="E36" s="40" t="s">
        <v>8</v>
      </c>
    </row>
    <row r="37" spans="1:5" x14ac:dyDescent="0.2">
      <c r="A37" s="40" t="s">
        <v>11</v>
      </c>
      <c r="B37" s="40" t="s">
        <v>91</v>
      </c>
      <c r="C37" s="42" t="s">
        <v>92</v>
      </c>
      <c r="D37" s="41" t="s">
        <v>4</v>
      </c>
      <c r="E37" s="40" t="s">
        <v>8</v>
      </c>
    </row>
    <row r="38" spans="1:5" x14ac:dyDescent="0.2">
      <c r="A38" s="41"/>
      <c r="B38" s="40" t="s">
        <v>93</v>
      </c>
      <c r="C38" s="42" t="s">
        <v>94</v>
      </c>
      <c r="D38" s="41" t="s">
        <v>4</v>
      </c>
      <c r="E38" s="40" t="s">
        <v>8</v>
      </c>
    </row>
    <row r="39" spans="1:5" x14ac:dyDescent="0.2">
      <c r="A39" s="46"/>
      <c r="B39" s="40" t="s">
        <v>95</v>
      </c>
      <c r="C39" s="42" t="s">
        <v>96</v>
      </c>
      <c r="D39" s="41" t="s">
        <v>4</v>
      </c>
      <c r="E39" s="40" t="s">
        <v>8</v>
      </c>
    </row>
    <row r="40" spans="1:5" x14ac:dyDescent="0.2">
      <c r="A40" s="47"/>
      <c r="B40" s="40" t="s">
        <v>97</v>
      </c>
      <c r="C40" s="42" t="s">
        <v>98</v>
      </c>
      <c r="D40" s="41" t="s">
        <v>4</v>
      </c>
      <c r="E40" s="40" t="s">
        <v>8</v>
      </c>
    </row>
    <row r="41" spans="1:5" x14ac:dyDescent="0.2">
      <c r="A41" s="40"/>
      <c r="B41" s="46" t="s">
        <v>99</v>
      </c>
      <c r="C41" s="45" t="s">
        <v>100</v>
      </c>
      <c r="D41" s="41" t="s">
        <v>4</v>
      </c>
      <c r="E41" s="40" t="s">
        <v>8</v>
      </c>
    </row>
    <row r="42" spans="1:5" x14ac:dyDescent="0.2">
      <c r="A42" s="40"/>
      <c r="B42" s="40" t="s">
        <v>101</v>
      </c>
      <c r="C42" s="42" t="s">
        <v>102</v>
      </c>
      <c r="D42" s="41" t="s">
        <v>4</v>
      </c>
      <c r="E42" s="40" t="s">
        <v>8</v>
      </c>
    </row>
    <row r="43" spans="1:5" x14ac:dyDescent="0.2">
      <c r="A43" s="40" t="s">
        <v>103</v>
      </c>
      <c r="B43" s="46" t="s">
        <v>104</v>
      </c>
      <c r="C43" s="42" t="s">
        <v>105</v>
      </c>
      <c r="D43" s="40" t="s">
        <v>10</v>
      </c>
      <c r="E43" s="40" t="s">
        <v>8</v>
      </c>
    </row>
    <row r="44" spans="1:5" x14ac:dyDescent="0.2">
      <c r="A44" s="46"/>
      <c r="B44" s="40" t="s">
        <v>106</v>
      </c>
      <c r="C44" s="42" t="s">
        <v>107</v>
      </c>
      <c r="D44" s="40" t="s">
        <v>4</v>
      </c>
      <c r="E44" s="40" t="s">
        <v>8</v>
      </c>
    </row>
    <row r="45" spans="1:5" x14ac:dyDescent="0.2">
      <c r="A45" s="46"/>
      <c r="B45" s="46" t="s">
        <v>108</v>
      </c>
      <c r="C45" s="42" t="s">
        <v>109</v>
      </c>
      <c r="D45" s="40" t="s">
        <v>4</v>
      </c>
      <c r="E45" s="40" t="s">
        <v>8</v>
      </c>
    </row>
    <row r="46" spans="1:5" x14ac:dyDescent="0.2">
      <c r="A46" s="46"/>
      <c r="B46" s="40" t="s">
        <v>110</v>
      </c>
      <c r="C46" s="43" t="s">
        <v>111</v>
      </c>
      <c r="D46" s="41" t="s">
        <v>10</v>
      </c>
      <c r="E46" s="40" t="s">
        <v>8</v>
      </c>
    </row>
    <row r="47" spans="1:5" x14ac:dyDescent="0.2">
      <c r="A47" s="46"/>
      <c r="B47" s="46" t="s">
        <v>112</v>
      </c>
      <c r="C47" s="43" t="s">
        <v>113</v>
      </c>
      <c r="D47" s="40" t="s">
        <v>4</v>
      </c>
      <c r="E47" s="40" t="s">
        <v>8</v>
      </c>
    </row>
    <row r="48" spans="1:5" x14ac:dyDescent="0.2">
      <c r="A48" s="40" t="s">
        <v>114</v>
      </c>
      <c r="B48" s="49" t="s">
        <v>115</v>
      </c>
      <c r="C48" s="43" t="s">
        <v>116</v>
      </c>
      <c r="D48" s="40" t="s">
        <v>117</v>
      </c>
      <c r="E48" s="40" t="s">
        <v>8</v>
      </c>
    </row>
    <row r="49" spans="1:5" x14ac:dyDescent="0.2">
      <c r="A49" s="40" t="s">
        <v>20</v>
      </c>
      <c r="B49" s="46" t="s">
        <v>118</v>
      </c>
      <c r="C49" s="43" t="s">
        <v>119</v>
      </c>
      <c r="D49" s="41" t="s">
        <v>120</v>
      </c>
      <c r="E49" s="41" t="s">
        <v>8</v>
      </c>
    </row>
    <row r="50" spans="1:5" x14ac:dyDescent="0.2">
      <c r="A50" s="46"/>
      <c r="B50" s="40" t="s">
        <v>121</v>
      </c>
      <c r="C50" s="43" t="s">
        <v>122</v>
      </c>
      <c r="D50" s="41" t="s">
        <v>4</v>
      </c>
      <c r="E50" s="41" t="s">
        <v>8</v>
      </c>
    </row>
    <row r="51" spans="1:5" x14ac:dyDescent="0.2">
      <c r="A51" s="46"/>
      <c r="B51" s="46" t="s">
        <v>123</v>
      </c>
      <c r="C51" s="43" t="s">
        <v>124</v>
      </c>
      <c r="D51" s="40" t="s">
        <v>4</v>
      </c>
      <c r="E51" s="41" t="s">
        <v>8</v>
      </c>
    </row>
    <row r="52" spans="1:5" x14ac:dyDescent="0.2">
      <c r="A52" s="40" t="s">
        <v>19</v>
      </c>
      <c r="B52" s="49" t="s">
        <v>125</v>
      </c>
      <c r="C52" s="43" t="s">
        <v>126</v>
      </c>
      <c r="D52" s="44" t="s">
        <v>127</v>
      </c>
      <c r="E52" s="41" t="s">
        <v>8</v>
      </c>
    </row>
    <row r="53" spans="1:5" x14ac:dyDescent="0.2">
      <c r="A53" s="46"/>
      <c r="B53" s="46" t="s">
        <v>128</v>
      </c>
      <c r="C53" s="43" t="s">
        <v>129</v>
      </c>
      <c r="D53" s="44" t="s">
        <v>4</v>
      </c>
      <c r="E53" s="41" t="s">
        <v>8</v>
      </c>
    </row>
    <row r="54" spans="1:5" x14ac:dyDescent="0.2">
      <c r="A54" s="46"/>
      <c r="B54" s="40" t="s">
        <v>130</v>
      </c>
      <c r="C54" s="43" t="s">
        <v>131</v>
      </c>
      <c r="D54" s="44" t="s">
        <v>4</v>
      </c>
      <c r="E54" s="41" t="s">
        <v>8</v>
      </c>
    </row>
    <row r="55" spans="1:5" x14ac:dyDescent="0.2">
      <c r="A55" s="46"/>
      <c r="B55" s="46" t="s">
        <v>132</v>
      </c>
      <c r="C55" s="43" t="s">
        <v>133</v>
      </c>
      <c r="D55" s="41" t="s">
        <v>4</v>
      </c>
      <c r="E55" s="41" t="s">
        <v>8</v>
      </c>
    </row>
    <row r="56" spans="1:5" x14ac:dyDescent="0.2">
      <c r="A56" s="46"/>
      <c r="B56" s="40" t="s">
        <v>134</v>
      </c>
      <c r="C56" s="43" t="s">
        <v>135</v>
      </c>
      <c r="D56" s="44" t="s">
        <v>4</v>
      </c>
      <c r="E56" s="41" t="s">
        <v>8</v>
      </c>
    </row>
    <row r="57" spans="1:5" x14ac:dyDescent="0.2">
      <c r="A57" s="46"/>
      <c r="B57" s="40" t="s">
        <v>136</v>
      </c>
      <c r="C57" s="43" t="s">
        <v>137</v>
      </c>
      <c r="D57" s="44" t="s">
        <v>4</v>
      </c>
      <c r="E57" s="41" t="s">
        <v>8</v>
      </c>
    </row>
    <row r="58" spans="1:5" x14ac:dyDescent="0.2">
      <c r="A58" s="46"/>
      <c r="B58" s="40" t="s">
        <v>138</v>
      </c>
      <c r="C58" s="43" t="s">
        <v>139</v>
      </c>
      <c r="D58" s="44" t="s">
        <v>4</v>
      </c>
      <c r="E58" s="41" t="s">
        <v>8</v>
      </c>
    </row>
    <row r="59" spans="1:5" x14ac:dyDescent="0.2">
      <c r="A59" s="42"/>
      <c r="B59" s="40" t="s">
        <v>140</v>
      </c>
      <c r="C59" s="43" t="s">
        <v>141</v>
      </c>
      <c r="D59" s="44" t="s">
        <v>4</v>
      </c>
      <c r="E59" s="41" t="s">
        <v>8</v>
      </c>
    </row>
    <row r="60" spans="1:5" x14ac:dyDescent="0.2">
      <c r="A60" s="40"/>
      <c r="B60" s="40" t="s">
        <v>142</v>
      </c>
      <c r="C60" s="43" t="s">
        <v>143</v>
      </c>
      <c r="D60" s="44" t="s">
        <v>4</v>
      </c>
      <c r="E60" s="41" t="s">
        <v>8</v>
      </c>
    </row>
    <row r="61" spans="1:5" x14ac:dyDescent="0.2">
      <c r="A61" s="41"/>
      <c r="B61" s="40" t="s">
        <v>144</v>
      </c>
      <c r="C61" s="43" t="s">
        <v>145</v>
      </c>
      <c r="D61" s="41" t="s">
        <v>4</v>
      </c>
      <c r="E61" s="41" t="s">
        <v>8</v>
      </c>
    </row>
    <row r="62" spans="1:5" x14ac:dyDescent="0.2">
      <c r="A62" s="46"/>
      <c r="B62" s="40" t="s">
        <v>146</v>
      </c>
      <c r="C62" s="43" t="s">
        <v>147</v>
      </c>
      <c r="D62" s="40" t="s">
        <v>4</v>
      </c>
      <c r="E62" s="40" t="s">
        <v>8</v>
      </c>
    </row>
    <row r="63" spans="1:5" x14ac:dyDescent="0.2">
      <c r="A63" s="40" t="s">
        <v>18</v>
      </c>
      <c r="B63" s="40" t="s">
        <v>148</v>
      </c>
      <c r="C63" s="43" t="s">
        <v>149</v>
      </c>
      <c r="D63" s="40" t="s">
        <v>10</v>
      </c>
      <c r="E63" s="40" t="s">
        <v>150</v>
      </c>
    </row>
    <row r="64" spans="1:5" x14ac:dyDescent="0.2">
      <c r="A64" s="40" t="s">
        <v>151</v>
      </c>
      <c r="B64" s="40" t="s">
        <v>152</v>
      </c>
      <c r="C64" s="43" t="s">
        <v>153</v>
      </c>
      <c r="D64" s="41"/>
      <c r="E64" s="41"/>
    </row>
    <row r="65" spans="1:6" x14ac:dyDescent="0.2">
      <c r="A65" s="40" t="s">
        <v>154</v>
      </c>
      <c r="B65" s="40" t="s">
        <v>155</v>
      </c>
      <c r="C65" s="43" t="s">
        <v>156</v>
      </c>
      <c r="D65" s="41"/>
      <c r="E65" s="41"/>
    </row>
    <row r="66" spans="1:6" x14ac:dyDescent="0.2">
      <c r="A66" s="46"/>
      <c r="B66" s="40" t="s">
        <v>157</v>
      </c>
      <c r="C66" s="45" t="s">
        <v>158</v>
      </c>
      <c r="D66" s="41"/>
      <c r="E66" s="41"/>
    </row>
    <row r="67" spans="1:6" x14ac:dyDescent="0.2">
      <c r="A67" s="46"/>
      <c r="B67" s="40" t="s">
        <v>159</v>
      </c>
      <c r="C67" s="45" t="s">
        <v>160</v>
      </c>
      <c r="D67" s="41"/>
      <c r="E67" s="41"/>
    </row>
    <row r="68" spans="1:6" x14ac:dyDescent="0.2">
      <c r="A68" s="39"/>
      <c r="B68" s="35"/>
      <c r="C68" s="31"/>
      <c r="D68" s="30"/>
      <c r="E68" s="30"/>
      <c r="F68" s="6"/>
    </row>
    <row r="69" spans="1:6" x14ac:dyDescent="0.2">
      <c r="A69" s="38"/>
      <c r="B69" s="29"/>
      <c r="C69" s="31"/>
      <c r="D69" s="30"/>
      <c r="E69" s="30"/>
      <c r="F69" s="6"/>
    </row>
    <row r="70" spans="1:6" x14ac:dyDescent="0.2">
      <c r="A70" s="38"/>
      <c r="B70" s="35"/>
      <c r="C70" s="32"/>
      <c r="D70" s="30"/>
      <c r="E70" s="30"/>
      <c r="F70" s="6"/>
    </row>
    <row r="71" spans="1:6" x14ac:dyDescent="0.2">
      <c r="A71" s="38"/>
      <c r="B71" s="35"/>
      <c r="C71" s="32"/>
      <c r="D71" s="30"/>
      <c r="E71" s="30"/>
      <c r="F71" s="6"/>
    </row>
    <row r="72" spans="1:6" x14ac:dyDescent="0.2">
      <c r="A72" s="38"/>
      <c r="B72" s="35"/>
      <c r="C72" s="33"/>
      <c r="D72" s="29"/>
      <c r="E72" s="30"/>
      <c r="F72" s="6"/>
    </row>
    <row r="73" spans="1:6" x14ac:dyDescent="0.2">
      <c r="A73" s="38"/>
      <c r="B73" s="35"/>
      <c r="C73" s="33"/>
      <c r="D73" s="35"/>
      <c r="E73" s="35"/>
      <c r="F73" s="6"/>
    </row>
    <row r="74" spans="1:6" x14ac:dyDescent="0.2">
      <c r="A74" s="32"/>
      <c r="B74" s="7"/>
      <c r="C74" s="32"/>
      <c r="D74" s="5"/>
      <c r="E74" s="6"/>
      <c r="F74" s="6"/>
    </row>
    <row r="75" spans="1:6" x14ac:dyDescent="0.2">
      <c r="A75" s="7"/>
      <c r="B75" s="7"/>
      <c r="C75" s="32"/>
      <c r="D75" s="5"/>
      <c r="E75" s="6"/>
      <c r="F75" s="6"/>
    </row>
    <row r="76" spans="1:6" x14ac:dyDescent="0.2">
      <c r="A76" s="7"/>
      <c r="B76" s="7"/>
      <c r="C76" s="30"/>
      <c r="D76" s="5"/>
      <c r="E76" s="6"/>
      <c r="F76" s="6"/>
    </row>
    <row r="77" spans="1:6" x14ac:dyDescent="0.2">
      <c r="A77" s="7"/>
      <c r="B77" s="7"/>
      <c r="C77" s="32"/>
      <c r="D77" s="5"/>
      <c r="E77" s="6"/>
      <c r="F77" s="6"/>
    </row>
    <row r="78" spans="1:6" x14ac:dyDescent="0.2">
      <c r="A78" s="7"/>
      <c r="B78" s="7"/>
      <c r="C78" s="32"/>
      <c r="D78" s="5"/>
      <c r="E78" s="6"/>
      <c r="F78" s="6"/>
    </row>
    <row r="79" spans="1:6" x14ac:dyDescent="0.2">
      <c r="A79" s="7"/>
      <c r="B79" s="7"/>
      <c r="C79" s="7"/>
      <c r="D79" s="5"/>
      <c r="E79" s="6"/>
      <c r="F79" s="6"/>
    </row>
    <row r="80" spans="1:6" x14ac:dyDescent="0.2">
      <c r="A80" s="6"/>
      <c r="B80" s="7"/>
      <c r="C80" s="7"/>
      <c r="D80" s="5"/>
      <c r="E80" s="6"/>
      <c r="F80" s="6"/>
    </row>
    <row r="81" spans="1:6" x14ac:dyDescent="0.2">
      <c r="A81" s="6"/>
      <c r="B81" s="7"/>
      <c r="C81" s="7"/>
      <c r="D81" s="5"/>
      <c r="E81" s="6"/>
      <c r="F81" s="6"/>
    </row>
    <row r="82" spans="1:6" x14ac:dyDescent="0.2">
      <c r="A82" s="7"/>
      <c r="B82" s="7"/>
      <c r="C82" s="7"/>
      <c r="D82" s="5"/>
      <c r="E82" s="6"/>
      <c r="F82" s="6"/>
    </row>
    <row r="83" spans="1:6" x14ac:dyDescent="0.2">
      <c r="A83" s="7"/>
      <c r="B83" s="7"/>
      <c r="C83" s="7"/>
      <c r="D83" s="5"/>
      <c r="E83" s="6"/>
      <c r="F83" s="6"/>
    </row>
    <row r="84" spans="1:6" x14ac:dyDescent="0.2">
      <c r="A84" s="6"/>
      <c r="B84" s="7"/>
      <c r="C84" s="7"/>
      <c r="D84" s="5"/>
      <c r="E84" s="6"/>
      <c r="F84" s="6"/>
    </row>
    <row r="85" spans="1:6" x14ac:dyDescent="0.2">
      <c r="A85" s="6"/>
      <c r="B85" s="7"/>
      <c r="C85" s="7"/>
      <c r="D85" s="5"/>
      <c r="E85" s="6"/>
      <c r="F85" s="6"/>
    </row>
    <row r="86" spans="1:6" x14ac:dyDescent="0.2">
      <c r="A86" s="7"/>
      <c r="B86" s="7"/>
      <c r="C86" s="7"/>
      <c r="D86" s="5"/>
      <c r="E86" s="6"/>
      <c r="F86" s="6"/>
    </row>
    <row r="87" spans="1:6" x14ac:dyDescent="0.2">
      <c r="A87" s="6"/>
      <c r="B87" s="7"/>
      <c r="C87" s="7"/>
      <c r="D87" s="5"/>
      <c r="E87" s="6"/>
      <c r="F87" s="6"/>
    </row>
    <row r="88" spans="1:6" x14ac:dyDescent="0.2">
      <c r="A88" s="6"/>
      <c r="B88" s="7"/>
      <c r="C88" s="7"/>
      <c r="D88" s="5"/>
      <c r="E88" s="6"/>
      <c r="F88" s="6"/>
    </row>
    <row r="89" spans="1:6" x14ac:dyDescent="0.2">
      <c r="A89" s="7"/>
      <c r="B89" s="7"/>
      <c r="C89" s="7"/>
      <c r="D89" s="5"/>
      <c r="E89" s="6"/>
      <c r="F89" s="6"/>
    </row>
    <row r="90" spans="1:6" x14ac:dyDescent="0.2">
      <c r="A90" s="8"/>
      <c r="B90" s="7"/>
      <c r="C90" s="8"/>
      <c r="D90" s="4" t="s">
        <v>4</v>
      </c>
    </row>
    <row r="91" spans="1:6" x14ac:dyDescent="0.2">
      <c r="A91" s="6"/>
      <c r="C91" s="8"/>
      <c r="D91" s="1"/>
    </row>
    <row r="92" spans="1:6" x14ac:dyDescent="0.2">
      <c r="A92" s="6"/>
      <c r="B92" s="7"/>
      <c r="C92" s="8"/>
      <c r="D92" s="4"/>
    </row>
    <row r="93" spans="1:6" x14ac:dyDescent="0.2">
      <c r="A93" s="7"/>
      <c r="B93" s="7"/>
      <c r="C93" s="8"/>
      <c r="D93" s="4"/>
    </row>
    <row r="94" spans="1:6" x14ac:dyDescent="0.2">
      <c r="A94" s="7"/>
      <c r="B94" s="7"/>
      <c r="C94" s="8"/>
      <c r="D94" s="4"/>
    </row>
    <row r="95" spans="1:6" x14ac:dyDescent="0.2">
      <c r="A95" s="6"/>
      <c r="B95" s="7"/>
      <c r="C95" s="8"/>
      <c r="D95" s="4"/>
    </row>
    <row r="96" spans="1:6" x14ac:dyDescent="0.2">
      <c r="A96" s="6"/>
      <c r="B96" s="7"/>
      <c r="C96" s="8"/>
      <c r="D96" s="4"/>
    </row>
    <row r="97" spans="1:4" x14ac:dyDescent="0.2">
      <c r="A97" s="7"/>
      <c r="B97" s="7"/>
      <c r="C97" s="8"/>
      <c r="D97" s="4"/>
    </row>
    <row r="98" spans="1:4" x14ac:dyDescent="0.2">
      <c r="A98" s="8"/>
      <c r="B98" s="7"/>
      <c r="C98" s="8"/>
      <c r="D98" s="4"/>
    </row>
    <row r="99" spans="1:4" x14ac:dyDescent="0.2">
      <c r="A99" s="7"/>
      <c r="B99" s="7"/>
      <c r="C99" s="8"/>
      <c r="D99" s="4"/>
    </row>
    <row r="100" spans="1:4" x14ac:dyDescent="0.2">
      <c r="A100" s="7"/>
      <c r="B100" s="7"/>
      <c r="C100" s="8"/>
      <c r="D100" s="4"/>
    </row>
    <row r="101" spans="1:4" x14ac:dyDescent="0.2">
      <c r="A101" s="7"/>
      <c r="B101" s="18"/>
      <c r="C101" s="8"/>
      <c r="D101" s="4"/>
    </row>
    <row r="102" spans="1:4" x14ac:dyDescent="0.2">
      <c r="A102" s="17"/>
      <c r="B102" s="18"/>
      <c r="C102" s="19"/>
      <c r="D102" s="4"/>
    </row>
    <row r="103" spans="1:4" x14ac:dyDescent="0.2">
      <c r="A103" s="14"/>
      <c r="B103" s="15"/>
      <c r="C103" s="16"/>
      <c r="D103" s="4"/>
    </row>
    <row r="104" spans="1:4" x14ac:dyDescent="0.2">
      <c r="A104" s="14"/>
      <c r="B104" s="15"/>
      <c r="C104" s="16"/>
      <c r="D104" s="4"/>
    </row>
    <row r="105" spans="1:4" x14ac:dyDescent="0.2">
      <c r="A105" s="14"/>
      <c r="B105" s="15"/>
      <c r="C105" s="16"/>
      <c r="D105" s="4"/>
    </row>
    <row r="106" spans="1:4" x14ac:dyDescent="0.2">
      <c r="A106" s="6"/>
      <c r="B106" s="7"/>
      <c r="C106" s="8"/>
      <c r="D106" s="4"/>
    </row>
    <row r="107" spans="1:4" x14ac:dyDescent="0.2">
      <c r="A107" s="7"/>
      <c r="B107" s="7"/>
      <c r="C107" s="16"/>
      <c r="D107" s="4"/>
    </row>
    <row r="108" spans="1:4" x14ac:dyDescent="0.2">
      <c r="A108" s="6"/>
      <c r="B108" s="7"/>
      <c r="C108" s="16"/>
      <c r="D108" s="4"/>
    </row>
    <row r="109" spans="1:4" x14ac:dyDescent="0.2">
      <c r="A109" s="7"/>
      <c r="B109" s="7"/>
      <c r="C109" s="16"/>
      <c r="D109" s="1"/>
    </row>
    <row r="110" spans="1:4" x14ac:dyDescent="0.2">
      <c r="A110" s="6"/>
      <c r="B110" s="7"/>
      <c r="C110" s="16"/>
      <c r="D110" s="4"/>
    </row>
    <row r="111" spans="1:4" x14ac:dyDescent="0.2">
      <c r="A111" s="6"/>
      <c r="B111" s="7"/>
      <c r="C111" s="16"/>
      <c r="D111" s="4"/>
    </row>
    <row r="112" spans="1:4" x14ac:dyDescent="0.2">
      <c r="A112" s="6"/>
      <c r="B112" s="7"/>
      <c r="C112" s="16"/>
      <c r="D112" s="1"/>
    </row>
    <row r="113" spans="1:4" x14ac:dyDescent="0.2">
      <c r="A113" s="6"/>
      <c r="B113" s="7"/>
      <c r="C113" s="16"/>
      <c r="D113" s="1"/>
    </row>
    <row r="114" spans="1:4" x14ac:dyDescent="0.2">
      <c r="A114" s="7"/>
      <c r="B114" s="7"/>
      <c r="C114" s="8"/>
      <c r="D114" s="4"/>
    </row>
    <row r="115" spans="1:4" x14ac:dyDescent="0.2">
      <c r="A115" s="7"/>
      <c r="B115" s="7"/>
      <c r="C115" s="16"/>
      <c r="D115" s="4"/>
    </row>
  </sheetData>
  <conditionalFormatting sqref="B74:B108">
    <cfRule type="duplicateValues" dxfId="14" priority="17"/>
  </conditionalFormatting>
  <conditionalFormatting sqref="B92:B115 B74:B90">
    <cfRule type="duplicateValues" dxfId="13" priority="16"/>
  </conditionalFormatting>
  <conditionalFormatting sqref="B74:B115">
    <cfRule type="duplicateValues" dxfId="12" priority="15"/>
  </conditionalFormatting>
  <conditionalFormatting sqref="B74:B90">
    <cfRule type="duplicateValues" dxfId="11" priority="14"/>
  </conditionalFormatting>
  <conditionalFormatting sqref="B74:B90">
    <cfRule type="duplicateValues" dxfId="10" priority="13"/>
  </conditionalFormatting>
  <conditionalFormatting sqref="B2:B36 B38:B40 C68:C69 B42:B67 C72:C73">
    <cfRule type="duplicateValues" dxfId="9" priority="9"/>
  </conditionalFormatting>
  <conditionalFormatting sqref="B2:B36 B38:B40 C68:C69 B42:B67 C72:C73">
    <cfRule type="duplicateValues" dxfId="8" priority="10"/>
  </conditionalFormatting>
  <conditionalFormatting sqref="C70">
    <cfRule type="duplicateValues" dxfId="7" priority="8"/>
  </conditionalFormatting>
  <conditionalFormatting sqref="C70">
    <cfRule type="duplicateValues" dxfId="6" priority="7"/>
  </conditionalFormatting>
  <conditionalFormatting sqref="C71">
    <cfRule type="duplicateValues" dxfId="5" priority="6"/>
  </conditionalFormatting>
  <conditionalFormatting sqref="C71">
    <cfRule type="duplicateValues" dxfId="4" priority="5"/>
  </conditionalFormatting>
  <conditionalFormatting sqref="B37">
    <cfRule type="duplicateValues" dxfId="3" priority="3"/>
  </conditionalFormatting>
  <conditionalFormatting sqref="B37">
    <cfRule type="duplicateValues" dxfId="2" priority="4"/>
  </conditionalFormatting>
  <conditionalFormatting sqref="B41">
    <cfRule type="duplicateValues" dxfId="1" priority="1"/>
  </conditionalFormatting>
  <conditionalFormatting sqref="B4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2019-2020</vt:lpstr>
      <vt:lpstr>Last Years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Windows User</cp:lastModifiedBy>
  <cp:lastPrinted>2019-11-26T12:38:11Z</cp:lastPrinted>
  <dcterms:created xsi:type="dcterms:W3CDTF">2003-11-01T10:38:06Z</dcterms:created>
  <dcterms:modified xsi:type="dcterms:W3CDTF">2020-12-15T09:34:19Z</dcterms:modified>
</cp:coreProperties>
</file>