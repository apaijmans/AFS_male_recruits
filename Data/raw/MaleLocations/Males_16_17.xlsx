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0" yWindow="0" windowWidth="19440" windowHeight="15600" tabRatio="601"/>
  </bookViews>
  <sheets>
    <sheet name="2015-2016" sheetId="5" r:id="rId1"/>
    <sheet name="Male Plot" sheetId="7" r:id="rId2"/>
    <sheet name="Last Years Boys" sheetId="6" r:id="rId3"/>
    <sheet name="Lost Boys" sheetId="4" r:id="rId4"/>
  </sheets>
  <definedNames>
    <definedName name="_xlnm._FilterDatabase" localSheetId="0" hidden="1">'2015-2016'!$C$1:$D$297</definedName>
  </definedNames>
  <calcPr calcId="125725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" i="5"/>
  <c r="AL1"/>
  <c r="AK1"/>
  <c r="R1"/>
  <c r="Q1"/>
  <c r="P1"/>
  <c r="I1"/>
  <c r="J1"/>
  <c r="K1"/>
  <c r="L1"/>
  <c r="M1"/>
  <c r="N1"/>
  <c r="O1"/>
  <c r="S1"/>
  <c r="T1"/>
  <c r="U1"/>
  <c r="V1"/>
  <c r="W1"/>
  <c r="X1"/>
  <c r="Y1"/>
  <c r="Z1"/>
  <c r="AA1"/>
  <c r="AB1"/>
  <c r="AC1"/>
  <c r="AD1"/>
  <c r="AE1"/>
  <c r="AF1"/>
  <c r="AG1"/>
  <c r="AH1"/>
  <c r="AI1"/>
  <c r="AJ1"/>
  <c r="AM1"/>
  <c r="AN1"/>
  <c r="AO1"/>
  <c r="AP1"/>
  <c r="AQ1"/>
  <c r="AR1"/>
  <c r="AS1"/>
  <c r="AT1"/>
  <c r="AU1"/>
  <c r="AV1"/>
  <c r="AW1"/>
  <c r="AX1"/>
  <c r="AY1"/>
  <c r="AZ1"/>
  <c r="BA1"/>
  <c r="BB1"/>
  <c r="BC1"/>
  <c r="BD1"/>
  <c r="BE1"/>
  <c r="BF1"/>
  <c r="BG1"/>
  <c r="BH1"/>
  <c r="BI1"/>
  <c r="BJ1"/>
  <c r="BK1"/>
  <c r="BL1"/>
  <c r="BM1"/>
  <c r="BN1"/>
  <c r="BO1"/>
  <c r="H1"/>
  <c r="G1"/>
  <c r="CX297"/>
  <c r="CW297"/>
  <c r="CV297"/>
  <c r="CU297"/>
  <c r="CT297"/>
  <c r="CS297"/>
  <c r="CR297"/>
  <c r="CQ297"/>
  <c r="CP297"/>
  <c r="CO297"/>
  <c r="CN297"/>
  <c r="CM297"/>
  <c r="CL297"/>
  <c r="CK297"/>
  <c r="CJ297"/>
  <c r="CI297"/>
  <c r="CH297"/>
  <c r="CG297"/>
</calcChain>
</file>

<file path=xl/sharedStrings.xml><?xml version="1.0" encoding="utf-8"?>
<sst xmlns="http://schemas.openxmlformats.org/spreadsheetml/2006/main" count="1812" uniqueCount="707">
  <si>
    <t>Tags</t>
  </si>
  <si>
    <t>Tissue Sampled</t>
  </si>
  <si>
    <t>Serial Number</t>
  </si>
  <si>
    <t>DATE</t>
  </si>
  <si>
    <t>LOCATION</t>
  </si>
  <si>
    <t>OLD PAINT MARK</t>
  </si>
  <si>
    <t>TAG STATUS</t>
  </si>
  <si>
    <t>SAMPLE</t>
  </si>
  <si>
    <t>LOST BOYS 2010/11 - DEAD or LIVING Male fur seals with OLD (not from the season) SSB paint marks found anywhere on BI but SSB; samples taken to match to genetic date base</t>
  </si>
  <si>
    <t>IF LIVING, collect biopsy sample in DMSO and location.</t>
  </si>
  <si>
    <t xml:space="preserve">IF DEAD, collect tissue sample in DMSO, location and upper canine for ageing </t>
  </si>
  <si>
    <t>Old Paint/Comments</t>
  </si>
  <si>
    <t>-/-</t>
  </si>
  <si>
    <t>TH/TH</t>
  </si>
  <si>
    <t>TS/TS</t>
  </si>
  <si>
    <t>Total Males on Beach</t>
  </si>
  <si>
    <t>?/?</t>
  </si>
  <si>
    <t>AGM14008</t>
  </si>
  <si>
    <r>
      <rPr>
        <b/>
        <sz val="10"/>
        <rFont val="Arial"/>
        <family val="2"/>
      </rPr>
      <t>PURPLE SHOULDER</t>
    </r>
    <r>
      <rPr>
        <sz val="10"/>
        <rFont val="Arial"/>
        <family val="2"/>
      </rPr>
      <t xml:space="preserve"> Purple right shoulder (x1), left shoulder (x1 small)</t>
    </r>
  </si>
  <si>
    <t xml:space="preserve">Blue rump </t>
  </si>
  <si>
    <t>AGM14047</t>
  </si>
  <si>
    <r>
      <rPr>
        <b/>
        <sz val="10"/>
        <rFont val="Arial"/>
        <family val="2"/>
      </rPr>
      <t xml:space="preserve">ROBBIE </t>
    </r>
    <r>
      <rPr>
        <sz val="10"/>
        <rFont val="Arial"/>
        <family val="2"/>
      </rPr>
      <t>purple back (x1) yellow mane (x1)</t>
    </r>
  </si>
  <si>
    <t>Scar over right eye</t>
  </si>
  <si>
    <t>AGM14002</t>
  </si>
  <si>
    <r>
      <rPr>
        <b/>
        <sz val="10"/>
        <rFont val="Arial"/>
        <family val="2"/>
      </rPr>
      <t>SCARFACE</t>
    </r>
    <r>
      <rPr>
        <sz val="10"/>
        <rFont val="Arial"/>
        <family val="2"/>
      </rPr>
      <t xml:space="preserve"> Smear of pale green/purple (x1) on back </t>
    </r>
  </si>
  <si>
    <t>AGM14021</t>
  </si>
  <si>
    <r>
      <rPr>
        <b/>
        <sz val="10"/>
        <rFont val="Arial"/>
        <family val="2"/>
      </rPr>
      <t>SCREECH</t>
    </r>
    <r>
      <rPr>
        <sz val="10"/>
        <rFont val="Arial"/>
        <family val="2"/>
      </rPr>
      <t xml:space="preserve"> D Blue/Purple mix (x1) left rump and lime green (x1) right rump</t>
    </r>
  </si>
  <si>
    <t>PIT TAG: 0413021D4C</t>
  </si>
  <si>
    <t>AGM14050</t>
  </si>
  <si>
    <r>
      <rPr>
        <b/>
        <sz val="10"/>
        <rFont val="Arial"/>
        <family val="2"/>
      </rPr>
      <t>SEASHELL</t>
    </r>
    <r>
      <rPr>
        <sz val="10"/>
        <rFont val="Arial"/>
        <family val="2"/>
      </rPr>
      <t xml:space="preserve"> purple right chest, light blue right shoulder</t>
    </r>
  </si>
  <si>
    <t>Old paint above right shoulder</t>
  </si>
  <si>
    <t>AGM14019</t>
  </si>
  <si>
    <r>
      <rPr>
        <b/>
        <sz val="10"/>
        <rFont val="Arial"/>
        <family val="2"/>
      </rPr>
      <t>SLURPY</t>
    </r>
    <r>
      <rPr>
        <sz val="10"/>
        <rFont val="Arial"/>
        <family val="2"/>
      </rPr>
      <t xml:space="preserve"> Purple (x1) and light blue(x1) on right flank, light blue (x1) forehead</t>
    </r>
  </si>
  <si>
    <r>
      <rPr>
        <b/>
        <sz val="10"/>
        <rFont val="Arial"/>
        <family val="2"/>
      </rPr>
      <t>SPRITE LEFT</t>
    </r>
    <r>
      <rPr>
        <sz val="10"/>
        <rFont val="Arial"/>
        <family val="2"/>
      </rPr>
      <t xml:space="preserve"> Lime green (x1) and d blue (x1) left flank</t>
    </r>
  </si>
  <si>
    <r>
      <rPr>
        <b/>
        <sz val="10"/>
        <rFont val="Arial"/>
        <family val="2"/>
      </rPr>
      <t>STREAK</t>
    </r>
    <r>
      <rPr>
        <sz val="10"/>
        <rFont val="Arial"/>
        <family val="2"/>
      </rPr>
      <t xml:space="preserve"> Orange smear (above foreflip) and dot on left flank, D blue on centre chest (x1)</t>
    </r>
  </si>
  <si>
    <t>Orange behind right ear</t>
  </si>
  <si>
    <t>AGM14009</t>
  </si>
  <si>
    <r>
      <rPr>
        <b/>
        <sz val="10"/>
        <rFont val="Arial"/>
        <family val="2"/>
      </rPr>
      <t>SUNSHINE</t>
    </r>
    <r>
      <rPr>
        <sz val="10"/>
        <rFont val="Arial"/>
        <family val="2"/>
      </rPr>
      <t xml:space="preserve"> Yellow/orange mix left rump (x1)</t>
    </r>
  </si>
  <si>
    <t>Yellow centre rump and back of head</t>
  </si>
  <si>
    <t>AGM14029</t>
  </si>
  <si>
    <r>
      <rPr>
        <b/>
        <sz val="10"/>
        <rFont val="Arial"/>
        <family val="2"/>
      </rPr>
      <t>SWEDEN</t>
    </r>
    <r>
      <rPr>
        <sz val="10"/>
        <rFont val="Arial"/>
        <family val="2"/>
      </rPr>
      <t xml:space="preserve"> D blue (x1) and yellow (x1) left rump, and yellow (x1) right rump</t>
    </r>
  </si>
  <si>
    <r>
      <rPr>
        <b/>
        <sz val="10"/>
        <rFont val="Arial"/>
        <family val="2"/>
      </rPr>
      <t>SWIFT</t>
    </r>
    <r>
      <rPr>
        <sz val="10"/>
        <rFont val="Arial"/>
        <family val="2"/>
      </rPr>
      <t xml:space="preserve"> L Blue/Orange mix on rump (x3 dots in a triangle)</t>
    </r>
  </si>
  <si>
    <t>AGM14049</t>
  </si>
  <si>
    <r>
      <rPr>
        <b/>
        <sz val="10"/>
        <rFont val="Arial"/>
        <family val="2"/>
      </rPr>
      <t>TERRY</t>
    </r>
    <r>
      <rPr>
        <sz val="10"/>
        <rFont val="Arial"/>
        <family val="2"/>
      </rPr>
      <t xml:space="preserve"> orange mouth, orange left shoulder, purple back</t>
    </r>
  </si>
  <si>
    <t>AGM14043</t>
  </si>
  <si>
    <r>
      <rPr>
        <b/>
        <sz val="10"/>
        <rFont val="Arial"/>
        <family val="2"/>
      </rPr>
      <t>THE GREEN MACHINE</t>
    </r>
    <r>
      <rPr>
        <sz val="10"/>
        <rFont val="Arial"/>
        <family val="2"/>
      </rPr>
      <t xml:space="preserve"> Lime green centre back (x1), pale green left flank (x1)</t>
    </r>
  </si>
  <si>
    <t>Scar below left eye</t>
  </si>
  <si>
    <t>AGM14003</t>
  </si>
  <si>
    <r>
      <rPr>
        <b/>
        <sz val="10"/>
        <rFont val="Arial"/>
        <family val="2"/>
      </rPr>
      <t>TIC TAC</t>
    </r>
    <r>
      <rPr>
        <sz val="10"/>
        <rFont val="Arial"/>
        <family val="2"/>
      </rPr>
      <t xml:space="preserve"> Orange (x1) right flank, lime green left flank (x1)</t>
    </r>
  </si>
  <si>
    <r>
      <rPr>
        <b/>
        <sz val="10"/>
        <rFont val="Arial"/>
        <family val="2"/>
      </rPr>
      <t>TRAFFIC LIGHTS</t>
    </r>
    <r>
      <rPr>
        <sz val="10"/>
        <rFont val="Arial"/>
        <family val="2"/>
      </rPr>
      <t xml:space="preserve"> Three dots in a line (yellow/orange, light blue, light blue) on left flank</t>
    </r>
  </si>
  <si>
    <t xml:space="preserve">UNPAINTED SUBADULT </t>
  </si>
  <si>
    <t>AGM14017</t>
  </si>
  <si>
    <r>
      <rPr>
        <b/>
        <sz val="10"/>
        <rFont val="Arial"/>
        <family val="2"/>
      </rPr>
      <t>VIKING</t>
    </r>
    <r>
      <rPr>
        <sz val="10"/>
        <rFont val="Arial"/>
        <family val="2"/>
      </rPr>
      <t xml:space="preserve"> Yellow left chest (x1), purple left flank (x1)</t>
    </r>
  </si>
  <si>
    <t>Red nose</t>
  </si>
  <si>
    <t>AGM14018</t>
  </si>
  <si>
    <r>
      <rPr>
        <b/>
        <sz val="10"/>
        <rFont val="Arial"/>
        <family val="2"/>
      </rPr>
      <t>WHISKEY ON THE ROCKS</t>
    </r>
    <r>
      <rPr>
        <sz val="10"/>
        <rFont val="Arial"/>
        <family val="2"/>
      </rPr>
      <t xml:space="preserve"> Orange left shoulder (x1), pale blue left flank (x1) and righ shoulder (x1)</t>
    </r>
  </si>
  <si>
    <t>Cut on nose</t>
  </si>
  <si>
    <t>AGM14020</t>
  </si>
  <si>
    <r>
      <rPr>
        <b/>
        <sz val="10"/>
        <rFont val="Arial"/>
        <family val="2"/>
      </rPr>
      <t>WILLIAM</t>
    </r>
    <r>
      <rPr>
        <sz val="10"/>
        <rFont val="Arial"/>
        <family val="2"/>
      </rPr>
      <t xml:space="preserve"> Orange right rump (x1), left flank (x1) and streak on right flank (x1), d blue/purple mix lower rump (x1)</t>
    </r>
  </si>
  <si>
    <t>AGM14012</t>
  </si>
  <si>
    <r>
      <rPr>
        <b/>
        <sz val="10"/>
        <rFont val="Arial"/>
        <family val="2"/>
      </rPr>
      <t>YELLOW SHOULDER</t>
    </r>
    <r>
      <rPr>
        <sz val="10"/>
        <rFont val="Arial"/>
        <family val="2"/>
      </rPr>
      <t xml:space="preserve"> Yellow left chest (x1), ligh blue left rump (x1)</t>
    </r>
  </si>
  <si>
    <t>Yellow/d blue mix right side (x1) and left (x1)</t>
  </si>
  <si>
    <t>AGM14054</t>
  </si>
  <si>
    <r>
      <rPr>
        <b/>
        <sz val="10"/>
        <rFont val="Arial"/>
        <family val="2"/>
      </rPr>
      <t>SEAWEED</t>
    </r>
    <r>
      <rPr>
        <sz val="10"/>
        <rFont val="Arial"/>
        <family val="2"/>
      </rPr>
      <t xml:space="preserve"> blue green mix  left chest, chin and back</t>
    </r>
  </si>
  <si>
    <t>AGM14055</t>
  </si>
  <si>
    <r>
      <rPr>
        <b/>
        <sz val="10"/>
        <rFont val="Arial"/>
        <family val="2"/>
      </rPr>
      <t>THE TICK</t>
    </r>
    <r>
      <rPr>
        <sz val="10"/>
        <rFont val="Arial"/>
        <family val="2"/>
      </rPr>
      <t xml:space="preserve"> right blue flank, right blue rump. Plus old blue paint marks</t>
    </r>
  </si>
  <si>
    <t>NO PAINT</t>
  </si>
  <si>
    <t>AGM14056</t>
  </si>
  <si>
    <r>
      <rPr>
        <b/>
        <sz val="10"/>
        <rFont val="Arial"/>
        <family val="2"/>
      </rPr>
      <t>HANG</t>
    </r>
    <r>
      <rPr>
        <sz val="10"/>
        <rFont val="Arial"/>
        <family val="2"/>
      </rPr>
      <t xml:space="preserve"> 2x yellow bum, lime green back</t>
    </r>
  </si>
  <si>
    <t>AGM14057</t>
  </si>
  <si>
    <r>
      <rPr>
        <b/>
        <sz val="10"/>
        <rFont val="Arial"/>
        <family val="2"/>
      </rPr>
      <t>OVER</t>
    </r>
    <r>
      <rPr>
        <sz val="10"/>
        <rFont val="Arial"/>
        <family val="2"/>
      </rPr>
      <t xml:space="preserve"> yellow left shoulder, orange right chest</t>
    </r>
  </si>
  <si>
    <t>AGM14058</t>
  </si>
  <si>
    <r>
      <rPr>
        <b/>
        <sz val="10"/>
        <rFont val="Arial"/>
        <family val="2"/>
      </rPr>
      <t>SHARK</t>
    </r>
    <r>
      <rPr>
        <sz val="10"/>
        <rFont val="Arial"/>
        <family val="2"/>
      </rPr>
      <t xml:space="preserve"> Purple rump (x2), light blue left shoulder (x1)</t>
    </r>
  </si>
  <si>
    <t>04130205CA</t>
  </si>
  <si>
    <t>AGM14060</t>
  </si>
  <si>
    <r>
      <rPr>
        <b/>
        <sz val="10"/>
        <rFont val="Arial"/>
        <family val="2"/>
      </rPr>
      <t xml:space="preserve">LEMON </t>
    </r>
    <r>
      <rPr>
        <sz val="10"/>
        <rFont val="Arial"/>
        <family val="2"/>
      </rPr>
      <t>2 yellow spots rump, blue back</t>
    </r>
  </si>
  <si>
    <t>0413021AC3</t>
  </si>
  <si>
    <t>AGM14059</t>
  </si>
  <si>
    <r>
      <rPr>
        <b/>
        <sz val="10"/>
        <rFont val="Arial"/>
        <family val="2"/>
      </rPr>
      <t xml:space="preserve">CITRUS </t>
    </r>
    <r>
      <rPr>
        <sz val="10"/>
        <rFont val="Arial"/>
        <family val="2"/>
      </rPr>
      <t>orange lower back, lime green right shoulder</t>
    </r>
  </si>
  <si>
    <t>Name and paint marks</t>
  </si>
  <si>
    <t>AGM15001</t>
  </si>
  <si>
    <t>Y</t>
  </si>
  <si>
    <t>yellow bum</t>
  </si>
  <si>
    <t>AGM15002</t>
  </si>
  <si>
    <t xml:space="preserve">yellow? R/between shoulders. Orange L flank. </t>
  </si>
  <si>
    <t>no PIT scan yet</t>
  </si>
  <si>
    <t>NO PIT SCAN YET</t>
  </si>
  <si>
    <t>AGM15003</t>
  </si>
  <si>
    <t>no pit scan yet</t>
  </si>
  <si>
    <t>AGM15005</t>
  </si>
  <si>
    <t>AGM15004</t>
  </si>
  <si>
    <t>AGM15006</t>
  </si>
  <si>
    <t>orange bum</t>
  </si>
  <si>
    <t>AGM15007</t>
  </si>
  <si>
    <t>AGM15008</t>
  </si>
  <si>
    <t>AGM15009</t>
  </si>
  <si>
    <t>AGM15010</t>
  </si>
  <si>
    <t>AGM15012</t>
  </si>
  <si>
    <t>AGM15011</t>
  </si>
  <si>
    <t>AGM15013</t>
  </si>
  <si>
    <t>AGM15014</t>
  </si>
  <si>
    <t>04159E27C1</t>
  </si>
  <si>
    <t>N</t>
  </si>
  <si>
    <t>04121E62AA</t>
  </si>
  <si>
    <t>2 left flank</t>
  </si>
  <si>
    <t>AGM15015</t>
  </si>
  <si>
    <t>AGM15016</t>
  </si>
  <si>
    <t>AGM15017</t>
  </si>
  <si>
    <t>AGM15020</t>
  </si>
  <si>
    <t>AGM15018</t>
  </si>
  <si>
    <t>AGM15019</t>
  </si>
  <si>
    <t>old lime green bum</t>
  </si>
  <si>
    <t>old orange bum</t>
  </si>
  <si>
    <t>AGM15021</t>
  </si>
  <si>
    <t>AGM15022</t>
  </si>
  <si>
    <r>
      <rPr>
        <b/>
        <sz val="10"/>
        <rFont val="Arial"/>
        <family val="2"/>
      </rPr>
      <t>Calipo</t>
    </r>
    <r>
      <rPr>
        <sz val="10"/>
        <rFont val="Arial"/>
        <family val="2"/>
      </rPr>
      <t xml:space="preserve"> - L organe shoulder, R lime green side</t>
    </r>
  </si>
  <si>
    <r>
      <t xml:space="preserve">Limey- </t>
    </r>
    <r>
      <rPr>
        <sz val="10"/>
        <rFont val="Arial"/>
        <family val="2"/>
      </rPr>
      <t>left lime green shoulder</t>
    </r>
  </si>
  <si>
    <r>
      <rPr>
        <b/>
        <sz val="10"/>
        <rFont val="Arial"/>
        <family val="2"/>
      </rPr>
      <t>Sunshine</t>
    </r>
    <r>
      <rPr>
        <sz val="10"/>
        <rFont val="Arial"/>
        <family val="2"/>
      </rPr>
      <t xml:space="preserve"> - yellow bum, orange chest</t>
    </r>
  </si>
  <si>
    <r>
      <rPr>
        <b/>
        <sz val="10"/>
        <rFont val="Arial"/>
        <family val="2"/>
      </rPr>
      <t xml:space="preserve">Dean </t>
    </r>
    <r>
      <rPr>
        <sz val="10"/>
        <rFont val="Arial"/>
        <family val="2"/>
      </rPr>
      <t>- yellow and light blue chest</t>
    </r>
  </si>
  <si>
    <r>
      <rPr>
        <b/>
        <sz val="10"/>
        <rFont val="Arial"/>
        <family val="2"/>
      </rPr>
      <t>Forest</t>
    </r>
    <r>
      <rPr>
        <sz val="10"/>
        <rFont val="Arial"/>
        <family val="2"/>
      </rPr>
      <t xml:space="preserve"> - lime green bum, light green chest</t>
    </r>
  </si>
  <si>
    <r>
      <rPr>
        <b/>
        <sz val="10"/>
        <rFont val="Arial"/>
        <family val="2"/>
      </rPr>
      <t>Seaweed</t>
    </r>
    <r>
      <rPr>
        <sz val="10"/>
        <rFont val="Arial"/>
        <family val="2"/>
      </rPr>
      <t xml:space="preserve"> - blue back, lime green bum</t>
    </r>
  </si>
  <si>
    <r>
      <rPr>
        <b/>
        <sz val="10"/>
        <rFont val="Arial"/>
        <family val="2"/>
      </rPr>
      <t>Sunrise</t>
    </r>
    <r>
      <rPr>
        <sz val="10"/>
        <rFont val="Arial"/>
        <family val="2"/>
      </rPr>
      <t xml:space="preserve"> - light blue bum, orange back</t>
    </r>
  </si>
  <si>
    <r>
      <rPr>
        <b/>
        <sz val="10"/>
        <rFont val="Arial"/>
        <family val="2"/>
      </rPr>
      <t>Green heart</t>
    </r>
    <r>
      <rPr>
        <sz val="10"/>
        <rFont val="Arial"/>
        <family val="2"/>
      </rPr>
      <t xml:space="preserve"> - lime left chin/chest</t>
    </r>
  </si>
  <si>
    <r>
      <rPr>
        <b/>
        <sz val="10"/>
        <rFont val="Arial"/>
        <family val="2"/>
      </rPr>
      <t>H2O</t>
    </r>
    <r>
      <rPr>
        <sz val="10"/>
        <rFont val="Arial"/>
        <family val="2"/>
      </rPr>
      <t xml:space="preserve"> - R shoulder light blue, L shoulder blue</t>
    </r>
  </si>
  <si>
    <r>
      <rPr>
        <b/>
        <sz val="10"/>
        <rFont val="Arial"/>
        <family val="2"/>
      </rPr>
      <t>Bumblebee</t>
    </r>
    <r>
      <rPr>
        <sz val="10"/>
        <rFont val="Arial"/>
        <family val="2"/>
      </rPr>
      <t xml:space="preserve"> - yellow bum, yellow R shoulder</t>
    </r>
  </si>
  <si>
    <r>
      <rPr>
        <b/>
        <sz val="10"/>
        <rFont val="Arial"/>
        <family val="2"/>
      </rPr>
      <t>Evening</t>
    </r>
    <r>
      <rPr>
        <sz val="10"/>
        <rFont val="Arial"/>
        <family val="2"/>
      </rPr>
      <t xml:space="preserve"> - light blue and yellow on right shoulder, purple bum</t>
    </r>
  </si>
  <si>
    <r>
      <rPr>
        <b/>
        <sz val="10"/>
        <rFont val="Arial"/>
        <family val="2"/>
      </rPr>
      <t>Blurple</t>
    </r>
    <r>
      <rPr>
        <sz val="10"/>
        <rFont val="Arial"/>
        <family val="2"/>
      </rPr>
      <t xml:space="preserve"> - R chest blue, L back purple</t>
    </r>
  </si>
  <si>
    <r>
      <rPr>
        <b/>
        <sz val="10"/>
        <rFont val="Arial"/>
        <family val="2"/>
      </rPr>
      <t>Seashell</t>
    </r>
    <r>
      <rPr>
        <sz val="10"/>
        <rFont val="Arial"/>
        <family val="2"/>
      </rPr>
      <t xml:space="preserve"> - light blue L side, purple R shoulder/chest</t>
    </r>
  </si>
  <si>
    <r>
      <rPr>
        <b/>
        <sz val="10"/>
        <rFont val="Arial"/>
        <family val="2"/>
      </rPr>
      <t>Fanta</t>
    </r>
    <r>
      <rPr>
        <sz val="10"/>
        <rFont val="Arial"/>
        <family val="2"/>
      </rPr>
      <t xml:space="preserve"> - orange left bum</t>
    </r>
  </si>
  <si>
    <r>
      <rPr>
        <b/>
        <sz val="10"/>
        <rFont val="Arial"/>
        <family val="2"/>
      </rPr>
      <t xml:space="preserve">Orange Heart </t>
    </r>
    <r>
      <rPr>
        <sz val="10"/>
        <rFont val="Arial"/>
        <family val="2"/>
      </rPr>
      <t xml:space="preserve">- orange chest </t>
    </r>
  </si>
  <si>
    <r>
      <rPr>
        <b/>
        <sz val="10"/>
        <rFont val="Arial"/>
        <family val="2"/>
      </rPr>
      <t>Grurple</t>
    </r>
    <r>
      <rPr>
        <sz val="10"/>
        <rFont val="Arial"/>
        <family val="2"/>
      </rPr>
      <t xml:space="preserve"> - purple bum, lime green L shoulder</t>
    </r>
  </si>
  <si>
    <r>
      <rPr>
        <b/>
        <sz val="10"/>
        <rFont val="Arial"/>
        <family val="2"/>
      </rPr>
      <t>Flounder</t>
    </r>
    <r>
      <rPr>
        <sz val="10"/>
        <rFont val="Arial"/>
        <family val="2"/>
      </rPr>
      <t xml:space="preserve"> - yellow R shoulder, blue L shoulder</t>
    </r>
  </si>
  <si>
    <r>
      <rPr>
        <b/>
        <sz val="10"/>
        <rFont val="Arial"/>
        <family val="2"/>
      </rPr>
      <t>Aqua</t>
    </r>
    <r>
      <rPr>
        <sz val="10"/>
        <rFont val="Arial"/>
        <family val="2"/>
      </rPr>
      <t xml:space="preserve"> - light blue spot on left shoulder </t>
    </r>
  </si>
  <si>
    <r>
      <rPr>
        <b/>
        <sz val="10"/>
        <rFont val="Arial"/>
        <family val="2"/>
      </rPr>
      <t>Leaf</t>
    </r>
    <r>
      <rPr>
        <sz val="10"/>
        <rFont val="Arial"/>
        <family val="2"/>
      </rPr>
      <t xml:space="preserve"> - Light green bum</t>
    </r>
  </si>
  <si>
    <r>
      <rPr>
        <b/>
        <sz val="10"/>
        <rFont val="Arial"/>
        <family val="2"/>
      </rPr>
      <t>Skye</t>
    </r>
    <r>
      <rPr>
        <sz val="10"/>
        <rFont val="Arial"/>
        <family val="2"/>
      </rPr>
      <t xml:space="preserve"> - light blue bum</t>
    </r>
  </si>
  <si>
    <r>
      <rPr>
        <b/>
        <sz val="10"/>
        <rFont val="Arial"/>
        <family val="2"/>
      </rPr>
      <t>Mountain</t>
    </r>
    <r>
      <rPr>
        <sz val="10"/>
        <rFont val="Arial"/>
        <family val="2"/>
      </rPr>
      <t xml:space="preserve"> - blue back central</t>
    </r>
  </si>
  <si>
    <r>
      <rPr>
        <b/>
        <sz val="10"/>
        <rFont val="Arial"/>
        <family val="2"/>
      </rPr>
      <t xml:space="preserve">Sparkle </t>
    </r>
    <r>
      <rPr>
        <sz val="10"/>
        <rFont val="Arial"/>
        <family val="2"/>
      </rPr>
      <t>- purple back, yellow bum</t>
    </r>
  </si>
  <si>
    <r>
      <rPr>
        <b/>
        <sz val="10"/>
        <rFont val="Arial"/>
        <family val="2"/>
      </rPr>
      <t xml:space="preserve">Lavender </t>
    </r>
    <r>
      <rPr>
        <sz val="10"/>
        <rFont val="Arial"/>
        <family val="2"/>
      </rPr>
      <t>- purple chest, blue bum</t>
    </r>
  </si>
  <si>
    <r>
      <rPr>
        <b/>
        <sz val="10"/>
        <rFont val="Arial"/>
        <family val="2"/>
      </rPr>
      <t>Bluefly</t>
    </r>
    <r>
      <rPr>
        <sz val="10"/>
        <rFont val="Arial"/>
        <family val="2"/>
      </rPr>
      <t>- blue bum, light green chest</t>
    </r>
  </si>
  <si>
    <r>
      <rPr>
        <b/>
        <sz val="10"/>
        <rFont val="Arial"/>
        <family val="2"/>
      </rPr>
      <t>Ipswich</t>
    </r>
    <r>
      <rPr>
        <sz val="10"/>
        <rFont val="Arial"/>
        <family val="2"/>
      </rPr>
      <t xml:space="preserve"> - blue R shoulder, yellow bum</t>
    </r>
  </si>
  <si>
    <r>
      <rPr>
        <b/>
        <sz val="10"/>
        <rFont val="Arial"/>
        <family val="2"/>
      </rPr>
      <t>River</t>
    </r>
    <r>
      <rPr>
        <sz val="10"/>
        <rFont val="Arial"/>
        <family val="2"/>
      </rPr>
      <t xml:space="preserve"> - blue bum, blue both front shoulders</t>
    </r>
  </si>
  <si>
    <r>
      <rPr>
        <b/>
        <sz val="10"/>
        <rFont val="Arial"/>
        <family val="2"/>
      </rPr>
      <t>Prince</t>
    </r>
    <r>
      <rPr>
        <sz val="10"/>
        <rFont val="Arial"/>
        <family val="2"/>
      </rPr>
      <t xml:space="preserve"> - yellow R shoulder, purple bum</t>
    </r>
  </si>
  <si>
    <r>
      <rPr>
        <b/>
        <sz val="10"/>
        <rFont val="Arial"/>
        <family val="2"/>
      </rPr>
      <t xml:space="preserve">Melons </t>
    </r>
    <r>
      <rPr>
        <sz val="10"/>
        <rFont val="Arial"/>
        <family val="2"/>
      </rPr>
      <t>- lime green bum, orange head</t>
    </r>
  </si>
  <si>
    <r>
      <rPr>
        <b/>
        <sz val="10"/>
        <rFont val="Arial"/>
        <family val="2"/>
      </rPr>
      <t>Buttercup</t>
    </r>
    <r>
      <rPr>
        <sz val="10"/>
        <rFont val="Arial"/>
        <family val="2"/>
      </rPr>
      <t xml:space="preserve"> - orange bum, yellow between shoulders</t>
    </r>
  </si>
  <si>
    <r>
      <rPr>
        <b/>
        <sz val="10"/>
        <rFont val="Arial"/>
        <family val="2"/>
      </rPr>
      <t>Blue Beard</t>
    </r>
    <r>
      <rPr>
        <sz val="10"/>
        <rFont val="Arial"/>
        <family val="2"/>
      </rPr>
      <t xml:space="preserve"> - blue chest, bit orange bum (from fighting?)</t>
    </r>
  </si>
  <si>
    <t>AGM15023</t>
  </si>
  <si>
    <t>-/TS?</t>
  </si>
  <si>
    <r>
      <rPr>
        <b/>
        <sz val="10"/>
        <rFont val="Arial"/>
        <family val="2"/>
      </rPr>
      <t>Limey the 2nd</t>
    </r>
    <r>
      <rPr>
        <sz val="10"/>
        <rFont val="Arial"/>
        <family val="2"/>
      </rPr>
      <t xml:space="preserve"> - both lime green shoulders</t>
    </r>
  </si>
  <si>
    <t>AGM15025</t>
  </si>
  <si>
    <t>AGM15024</t>
  </si>
  <si>
    <r>
      <rPr>
        <b/>
        <sz val="10"/>
        <rFont val="Arial"/>
        <family val="2"/>
      </rPr>
      <t>Colgate</t>
    </r>
    <r>
      <rPr>
        <sz val="10"/>
        <rFont val="Arial"/>
        <family val="2"/>
      </rPr>
      <t xml:space="preserve"> - blue R shoulder, light blue back </t>
    </r>
  </si>
  <si>
    <r>
      <rPr>
        <b/>
        <sz val="10"/>
        <rFont val="Arial"/>
        <family val="2"/>
      </rPr>
      <t>Kelpie</t>
    </r>
    <r>
      <rPr>
        <sz val="10"/>
        <rFont val="Arial"/>
        <family val="2"/>
      </rPr>
      <t xml:space="preserve"> - lime green bum, blue chest</t>
    </r>
  </si>
  <si>
    <t>AGM15026</t>
  </si>
  <si>
    <r>
      <rPr>
        <b/>
        <sz val="10"/>
        <rFont val="Arial"/>
        <family val="2"/>
      </rPr>
      <t xml:space="preserve">Barney </t>
    </r>
    <r>
      <rPr>
        <sz val="10"/>
        <rFont val="Arial"/>
        <family val="2"/>
      </rPr>
      <t>- 2 purple spots on left side</t>
    </r>
  </si>
  <si>
    <t>AGM15027</t>
  </si>
  <si>
    <t>AGM15028</t>
  </si>
  <si>
    <t>old paint left flank</t>
  </si>
  <si>
    <t>AGM15029</t>
  </si>
  <si>
    <r>
      <rPr>
        <b/>
        <sz val="10"/>
        <rFont val="Arial"/>
        <family val="2"/>
      </rPr>
      <t>Jaba</t>
    </r>
    <r>
      <rPr>
        <sz val="10"/>
        <rFont val="Arial"/>
        <family val="2"/>
      </rPr>
      <t xml:space="preserve"> - lime green back, light green bum and left flank</t>
    </r>
  </si>
  <si>
    <r>
      <rPr>
        <b/>
        <sz val="10"/>
        <rFont val="Arial"/>
        <family val="2"/>
      </rPr>
      <t>Orinoco</t>
    </r>
    <r>
      <rPr>
        <sz val="10"/>
        <rFont val="Arial"/>
        <family val="2"/>
      </rPr>
      <t xml:space="preserve"> - light blue left bum, orange right bum</t>
    </r>
  </si>
  <si>
    <t>old blue bum, old yellow right flank</t>
  </si>
  <si>
    <r>
      <rPr>
        <b/>
        <sz val="10"/>
        <rFont val="Arial"/>
        <family val="2"/>
      </rPr>
      <t>Maximus -</t>
    </r>
    <r>
      <rPr>
        <sz val="10"/>
        <rFont val="Arial"/>
        <family val="2"/>
      </rPr>
      <t xml:space="preserve"> very bloody torn up chest</t>
    </r>
  </si>
  <si>
    <r>
      <rPr>
        <b/>
        <sz val="10"/>
        <rFont val="Arial"/>
        <family val="2"/>
      </rPr>
      <t>Ryan -</t>
    </r>
    <r>
      <rPr>
        <sz val="10"/>
        <rFont val="Arial"/>
        <family val="2"/>
      </rPr>
      <t xml:space="preserve"> purple bum, lime green right chest</t>
    </r>
  </si>
  <si>
    <r>
      <rPr>
        <b/>
        <sz val="10"/>
        <rFont val="Arial"/>
        <family val="2"/>
      </rPr>
      <t xml:space="preserve">Twister - </t>
    </r>
    <r>
      <rPr>
        <sz val="10"/>
        <rFont val="Arial"/>
        <family val="2"/>
      </rPr>
      <t>lime green spot on bum, blue spot on L shoulder</t>
    </r>
  </si>
  <si>
    <t>old lime green/yellow paint on R shoulder</t>
  </si>
  <si>
    <r>
      <rPr>
        <b/>
        <sz val="10"/>
        <rFont val="Arial"/>
        <family val="2"/>
      </rPr>
      <t xml:space="preserve">Russel - </t>
    </r>
    <r>
      <rPr>
        <sz val="10"/>
        <rFont val="Arial"/>
        <family val="2"/>
      </rPr>
      <t>light blue head</t>
    </r>
  </si>
  <si>
    <r>
      <rPr>
        <b/>
        <sz val="10"/>
        <rFont val="Arial"/>
        <family val="2"/>
      </rPr>
      <t>Brad -</t>
    </r>
    <r>
      <rPr>
        <sz val="10"/>
        <rFont val="Arial"/>
        <family val="2"/>
      </rPr>
      <t xml:space="preserve"> blue left side, little orange left side</t>
    </r>
  </si>
  <si>
    <r>
      <rPr>
        <b/>
        <sz val="10"/>
        <rFont val="Arial"/>
        <family val="2"/>
      </rPr>
      <t>Custard -</t>
    </r>
    <r>
      <rPr>
        <sz val="10"/>
        <rFont val="Arial"/>
        <family val="2"/>
      </rPr>
      <t xml:space="preserve"> yellow on chest</t>
    </r>
  </si>
  <si>
    <r>
      <rPr>
        <b/>
        <sz val="10"/>
        <rFont val="Arial"/>
        <family val="2"/>
      </rPr>
      <t>Fabio -</t>
    </r>
    <r>
      <rPr>
        <sz val="10"/>
        <rFont val="Arial"/>
        <family val="2"/>
      </rPr>
      <t xml:space="preserve"> yellow around chest, light blue centre shoulder</t>
    </r>
  </si>
  <si>
    <r>
      <rPr>
        <b/>
        <sz val="10"/>
        <rFont val="Arial"/>
        <family val="2"/>
      </rPr>
      <t>George -</t>
    </r>
    <r>
      <rPr>
        <sz val="10"/>
        <rFont val="Arial"/>
        <family val="2"/>
      </rPr>
      <t xml:space="preserve"> light blue left bum, yellow right bum in centre</t>
    </r>
  </si>
  <si>
    <r>
      <rPr>
        <b/>
        <sz val="10"/>
        <rFont val="Arial"/>
        <family val="2"/>
      </rPr>
      <t>Michael -</t>
    </r>
    <r>
      <rPr>
        <sz val="10"/>
        <rFont val="Arial"/>
        <family val="2"/>
      </rPr>
      <t xml:space="preserve"> lime green left bum, light blue right bum</t>
    </r>
  </si>
  <si>
    <r>
      <rPr>
        <b/>
        <sz val="10"/>
        <rFont val="Arial"/>
        <family val="2"/>
      </rPr>
      <t xml:space="preserve">Banana- </t>
    </r>
    <r>
      <rPr>
        <sz val="10"/>
        <rFont val="Arial"/>
        <family val="2"/>
      </rPr>
      <t>yellow right shoulder</t>
    </r>
  </si>
  <si>
    <r>
      <rPr>
        <b/>
        <sz val="10"/>
        <rFont val="Arial"/>
        <family val="2"/>
      </rPr>
      <t>Terry -</t>
    </r>
    <r>
      <rPr>
        <sz val="10"/>
        <rFont val="Arial"/>
        <family val="2"/>
      </rPr>
      <t xml:space="preserve"> gash on right side of head, 2 orange shoulders</t>
    </r>
  </si>
  <si>
    <t>AGM15030</t>
  </si>
  <si>
    <t>AGM15031</t>
  </si>
  <si>
    <r>
      <rPr>
        <b/>
        <sz val="10"/>
        <rFont val="Arial"/>
        <family val="2"/>
      </rPr>
      <t xml:space="preserve">Right </t>
    </r>
    <r>
      <rPr>
        <sz val="10"/>
        <rFont val="Arial"/>
        <family val="2"/>
      </rPr>
      <t>- light blue on right shoulder</t>
    </r>
  </si>
  <si>
    <r>
      <rPr>
        <b/>
        <sz val="10"/>
        <rFont val="Arial"/>
        <family val="2"/>
      </rPr>
      <t xml:space="preserve">Left </t>
    </r>
    <r>
      <rPr>
        <sz val="10"/>
        <rFont val="Arial"/>
        <family val="2"/>
      </rPr>
      <t>- light blue on left shoulder</t>
    </r>
  </si>
  <si>
    <r>
      <rPr>
        <b/>
        <sz val="10"/>
        <rFont val="Arial"/>
        <family val="2"/>
      </rPr>
      <t>Rockyroad -</t>
    </r>
    <r>
      <rPr>
        <sz val="10"/>
        <rFont val="Arial"/>
        <family val="2"/>
      </rPr>
      <t xml:space="preserve"> RIGHT YELLOW SHOULDER, BLUE AND PRUPLE LEFT SHOULDER</t>
    </r>
  </si>
  <si>
    <r>
      <rPr>
        <b/>
        <sz val="10"/>
        <rFont val="Arial"/>
        <family val="2"/>
      </rPr>
      <t>Blorange bum -</t>
    </r>
    <r>
      <rPr>
        <sz val="10"/>
        <rFont val="Arial"/>
        <family val="2"/>
      </rPr>
      <t xml:space="preserve"> BLUE AND ORANGE BUM AND PURPLE HEAD</t>
    </r>
  </si>
  <si>
    <r>
      <rPr>
        <b/>
        <sz val="10"/>
        <rFont val="Arial"/>
        <family val="2"/>
      </rPr>
      <t xml:space="preserve">Vada </t>
    </r>
    <r>
      <rPr>
        <sz val="10"/>
        <rFont val="Arial"/>
        <family val="2"/>
      </rPr>
      <t>- purple back, blue R shoulder</t>
    </r>
  </si>
  <si>
    <t>AGM15032</t>
  </si>
  <si>
    <t>bite in bum</t>
  </si>
  <si>
    <r>
      <rPr>
        <b/>
        <sz val="10"/>
        <rFont val="Arial"/>
        <family val="2"/>
      </rPr>
      <t xml:space="preserve">Wookie - </t>
    </r>
    <r>
      <rPr>
        <sz val="10"/>
        <rFont val="Arial"/>
        <family val="2"/>
      </rPr>
      <t>orange left shoulder, purple right shoulder</t>
    </r>
  </si>
  <si>
    <t>blind right eye</t>
  </si>
  <si>
    <t>AGM15033</t>
  </si>
  <si>
    <t>AGM15034</t>
  </si>
  <si>
    <t>AGM15035</t>
  </si>
  <si>
    <t>AGM15036</t>
  </si>
  <si>
    <t>AGM15037</t>
  </si>
  <si>
    <t>AGM15038</t>
  </si>
  <si>
    <t>S</t>
  </si>
  <si>
    <t>AGM15039</t>
  </si>
  <si>
    <t>AGM15040</t>
  </si>
  <si>
    <t>AGM15041</t>
  </si>
  <si>
    <t>AGM15042</t>
  </si>
  <si>
    <t>old paint on bum and back</t>
  </si>
  <si>
    <t>purple and light green 2 spots on chest</t>
  </si>
  <si>
    <t>light green, little purple on back of head and one on back</t>
  </si>
  <si>
    <t>AGM15043</t>
  </si>
  <si>
    <t>AGM15044</t>
  </si>
  <si>
    <t>AGM15045</t>
  </si>
  <si>
    <t>old paint right bum</t>
  </si>
  <si>
    <t>blue bum</t>
  </si>
  <si>
    <t>AGM16001</t>
  </si>
  <si>
    <t>Lockheart - Pink bum on right</t>
  </si>
  <si>
    <t>2009</t>
  </si>
  <si>
    <t>AGM16002</t>
  </si>
  <si>
    <t>Crab - light bluey green on right shoulder</t>
  </si>
  <si>
    <t>0014</t>
  </si>
  <si>
    <t>AGM16003</t>
  </si>
  <si>
    <t>Goyle - light bluey green on left rump</t>
  </si>
  <si>
    <t>-0108</t>
  </si>
  <si>
    <t>1710</t>
  </si>
  <si>
    <t>Bumblebee - yellow bum</t>
  </si>
  <si>
    <t>Shoulderpads - yellow left shoulder + pink right shoulder</t>
  </si>
  <si>
    <t>1310</t>
  </si>
  <si>
    <t>Cederic - light blue mid left back</t>
  </si>
  <si>
    <t>1706</t>
  </si>
  <si>
    <t>AGM16004</t>
  </si>
  <si>
    <t>AGM16005</t>
  </si>
  <si>
    <t>2710</t>
  </si>
  <si>
    <t>1808</t>
  </si>
  <si>
    <t>0808</t>
  </si>
  <si>
    <t>-0203</t>
  </si>
  <si>
    <t>1110</t>
  </si>
  <si>
    <t>1811</t>
  </si>
  <si>
    <t>1911</t>
  </si>
  <si>
    <t>AGM16006</t>
  </si>
  <si>
    <t>AGM16007</t>
  </si>
  <si>
    <t>Tiger - Orange mid rump + orange mid shoulder stripe</t>
  </si>
  <si>
    <t>Ron - Orange chest good right mark - left faint</t>
  </si>
  <si>
    <t>Shrek - Lime green right rump</t>
  </si>
  <si>
    <t>0507</t>
  </si>
  <si>
    <t>1210</t>
  </si>
  <si>
    <t>2611</t>
  </si>
  <si>
    <t>1610</t>
  </si>
  <si>
    <t>AGM16008</t>
  </si>
  <si>
    <t>Malfoy - Lime green right chest</t>
  </si>
  <si>
    <t>0204</t>
  </si>
  <si>
    <t>0406</t>
  </si>
  <si>
    <t>1409</t>
  </si>
  <si>
    <t>1711</t>
  </si>
  <si>
    <t>2512</t>
  </si>
  <si>
    <t>2911</t>
  </si>
  <si>
    <t>AGM16011</t>
  </si>
  <si>
    <t>0407</t>
  </si>
  <si>
    <t>2910</t>
  </si>
  <si>
    <t>2409</t>
  </si>
  <si>
    <t>1413</t>
  </si>
  <si>
    <t>0304</t>
  </si>
  <si>
    <t>Dobby - Light blue bum (mid + right splodges)</t>
  </si>
  <si>
    <t>AGM16009</t>
  </si>
  <si>
    <t>Snape - Lime left chest + left shoulder down back in light blue</t>
  </si>
  <si>
    <t>AGM16010</t>
  </si>
  <si>
    <t>3208</t>
  </si>
  <si>
    <t>1609</t>
  </si>
  <si>
    <t>1208</t>
  </si>
  <si>
    <t>Turtle - Lime green shoulder blades + left back</t>
  </si>
  <si>
    <t>0503</t>
  </si>
  <si>
    <t>0708</t>
  </si>
  <si>
    <t>1508</t>
  </si>
  <si>
    <t>1511</t>
  </si>
  <si>
    <t>2809</t>
  </si>
  <si>
    <t>3108</t>
  </si>
  <si>
    <t>-0208</t>
  </si>
  <si>
    <t>Pinky - Pink spot center of chest</t>
  </si>
  <si>
    <t>0017</t>
  </si>
  <si>
    <t>AGM16012</t>
  </si>
  <si>
    <t>AGM16013</t>
  </si>
  <si>
    <t>AGM16014</t>
  </si>
  <si>
    <t>Brain - Pink left and right shoulders</t>
  </si>
  <si>
    <t>George - Left shoulder orange and orange left rump</t>
  </si>
  <si>
    <t>0303</t>
  </si>
  <si>
    <t>0412</t>
  </si>
  <si>
    <t>0215</t>
  </si>
  <si>
    <t>1010</t>
  </si>
  <si>
    <t>1115</t>
  </si>
  <si>
    <t>1514</t>
  </si>
  <si>
    <t>1708</t>
  </si>
  <si>
    <t>2016</t>
  </si>
  <si>
    <t>2709</t>
  </si>
  <si>
    <t>AGM16015</t>
  </si>
  <si>
    <t>AGM16016</t>
  </si>
  <si>
    <t>Rind - Yellow spots between shoulder blades, on rump and above left flipper</t>
  </si>
  <si>
    <t>0115</t>
  </si>
  <si>
    <t>0603</t>
  </si>
  <si>
    <t>0707</t>
  </si>
  <si>
    <t>1008</t>
  </si>
  <si>
    <t>1216</t>
  </si>
  <si>
    <t>1916</t>
  </si>
  <si>
    <t>2708</t>
  </si>
  <si>
    <t>TS/TH</t>
  </si>
  <si>
    <t>Possible green / blue faint paint spot on left rump.</t>
  </si>
  <si>
    <t>1007</t>
  </si>
  <si>
    <t>1215</t>
  </si>
  <si>
    <t>2203</t>
  </si>
  <si>
    <t>2402</t>
  </si>
  <si>
    <t>2705</t>
  </si>
  <si>
    <t>3107</t>
  </si>
  <si>
    <t>Paint from last year on rump</t>
  </si>
  <si>
    <t>AGM16017</t>
  </si>
  <si>
    <t>Ravenclaw - Bright blue spot upper left chest</t>
  </si>
  <si>
    <t>AGM16019</t>
  </si>
  <si>
    <t>Paint from last year on rump + back of head</t>
  </si>
  <si>
    <t>AGM16018</t>
  </si>
  <si>
    <t>0410</t>
  </si>
  <si>
    <t>2308</t>
  </si>
  <si>
    <t>1309</t>
  </si>
  <si>
    <t>1611</t>
  </si>
  <si>
    <t>2213</t>
  </si>
  <si>
    <t>0318</t>
  </si>
  <si>
    <t>1915</t>
  </si>
  <si>
    <t>0114</t>
  </si>
  <si>
    <t>0706</t>
  </si>
  <si>
    <t>1009</t>
  </si>
  <si>
    <t>1908</t>
  </si>
  <si>
    <t>2114</t>
  </si>
  <si>
    <t>2309</t>
  </si>
  <si>
    <t>2509</t>
  </si>
  <si>
    <t>2515</t>
  </si>
  <si>
    <t>2618</t>
  </si>
  <si>
    <t>2218</t>
  </si>
  <si>
    <t>AGM16022</t>
  </si>
  <si>
    <t>AGM16021</t>
  </si>
  <si>
    <t>Possible paint from last year on left rump</t>
  </si>
  <si>
    <t>Prettyboy - Pink and Blue on back, upper neck</t>
  </si>
  <si>
    <t>Sirius - Pink on left chest, blue on rump</t>
  </si>
  <si>
    <t>Trump - Orange centre chest + above left flipper</t>
  </si>
  <si>
    <t>AGM16023</t>
  </si>
  <si>
    <t>2313</t>
  </si>
  <si>
    <t>1813</t>
  </si>
  <si>
    <t>2010</t>
  </si>
  <si>
    <t>0611</t>
  </si>
  <si>
    <t>3212</t>
  </si>
  <si>
    <t>2209</t>
  </si>
  <si>
    <t>2510</t>
  </si>
  <si>
    <t>2518</t>
  </si>
  <si>
    <t>0312</t>
  </si>
  <si>
    <t>Fluffy - Blue stripe on left side + yellow and blue spot on right shoulder</t>
  </si>
  <si>
    <t>Wormtail - Blue above left flipper. Yellow left chest, up to mouth.</t>
  </si>
  <si>
    <t>-0115</t>
  </si>
  <si>
    <t>0313</t>
  </si>
  <si>
    <t>1108</t>
  </si>
  <si>
    <t>1812</t>
  </si>
  <si>
    <t>1909</t>
  </si>
  <si>
    <t>2210</t>
  </si>
  <si>
    <t>2511</t>
  </si>
  <si>
    <t>2810</t>
  </si>
  <si>
    <t>3009</t>
  </si>
  <si>
    <t>2216</t>
  </si>
  <si>
    <t>2517</t>
  </si>
  <si>
    <t>AGM16024</t>
  </si>
  <si>
    <t>AGM16025</t>
  </si>
  <si>
    <t>Battenberg - Two pink spots and one yellow spot on back between shoulder blades</t>
  </si>
  <si>
    <t>-0712</t>
  </si>
  <si>
    <t>PIT tag</t>
  </si>
  <si>
    <t>0415A5E448</t>
  </si>
  <si>
    <t>04159E3074</t>
  </si>
  <si>
    <t>04130213F2</t>
  </si>
  <si>
    <t>0610</t>
  </si>
  <si>
    <t>3308</t>
  </si>
  <si>
    <t>0217</t>
  </si>
  <si>
    <t>1116</t>
  </si>
  <si>
    <t>2616</t>
  </si>
  <si>
    <t>-0812</t>
  </si>
  <si>
    <t>2416</t>
  </si>
  <si>
    <t>-0814</t>
  </si>
  <si>
    <t>0409</t>
  </si>
  <si>
    <t>2011</t>
  </si>
  <si>
    <t>2214</t>
  </si>
  <si>
    <t>3211</t>
  </si>
  <si>
    <t>2017</t>
  </si>
  <si>
    <t>2217</t>
  </si>
  <si>
    <t>Moody - Bad left eye and two orange dots, one blue dot right side of chest</t>
  </si>
  <si>
    <t>AGM16026</t>
  </si>
  <si>
    <t>AGM16027</t>
  </si>
  <si>
    <t>Injured left eye</t>
  </si>
  <si>
    <t>Sir Nick - Bad wound back of the neck. Blue stripe left rump, orange dot center rump</t>
  </si>
  <si>
    <t>Bad wound on back of neck and paint from last year on rump</t>
  </si>
  <si>
    <t>2115</t>
  </si>
  <si>
    <t>0612</t>
  </si>
  <si>
    <t>3112</t>
  </si>
  <si>
    <t>0911</t>
  </si>
  <si>
    <t>2015</t>
  </si>
  <si>
    <t>2413</t>
  </si>
  <si>
    <t>-0418</t>
  </si>
  <si>
    <t>0211</t>
  </si>
  <si>
    <t>cave</t>
  </si>
  <si>
    <t>AGM16028</t>
  </si>
  <si>
    <t>Fairtrade - Lime green just below centre neck, and blue bum</t>
  </si>
  <si>
    <t>0309</t>
  </si>
  <si>
    <t>0116</t>
  </si>
  <si>
    <t>1615</t>
  </si>
  <si>
    <t>2417</t>
  </si>
  <si>
    <t>0022</t>
  </si>
  <si>
    <t>-0819</t>
  </si>
  <si>
    <t>AGM16029</t>
  </si>
  <si>
    <t>AGM16030</t>
  </si>
  <si>
    <t>3520</t>
  </si>
  <si>
    <t>Creature - Yellow right chest, pink left chest</t>
  </si>
  <si>
    <t>Batman - Yellow spot on centre chest, pink spots above both front flippers</t>
  </si>
  <si>
    <t>0016</t>
  </si>
  <si>
    <t>0710</t>
  </si>
  <si>
    <t>1207</t>
  </si>
  <si>
    <t>2514</t>
  </si>
  <si>
    <t>2608</t>
  </si>
  <si>
    <t>-0818</t>
  </si>
  <si>
    <t>3226</t>
  </si>
  <si>
    <t>3623</t>
  </si>
  <si>
    <t>AGM16031</t>
  </si>
  <si>
    <t>2113</t>
  </si>
  <si>
    <t>1712</t>
  </si>
  <si>
    <t>3106</t>
  </si>
  <si>
    <t>0218</t>
  </si>
  <si>
    <t>2412</t>
  </si>
  <si>
    <t>-0618</t>
  </si>
  <si>
    <t>2117</t>
  </si>
  <si>
    <t>0504</t>
  </si>
  <si>
    <t>0506</t>
  </si>
  <si>
    <t>2717</t>
  </si>
  <si>
    <t>3318</t>
  </si>
  <si>
    <t>0704</t>
  </si>
  <si>
    <t>0212</t>
  </si>
  <si>
    <t>1209</t>
  </si>
  <si>
    <t>1512</t>
  </si>
  <si>
    <t>1607</t>
  </si>
  <si>
    <t>2716</t>
  </si>
  <si>
    <t>-0820</t>
  </si>
  <si>
    <t>Holey Moley - Lime green centre chest and Pink on right of chest</t>
  </si>
  <si>
    <t>2421</t>
  </si>
  <si>
    <t>0216</t>
  </si>
  <si>
    <t>0609</t>
  </si>
  <si>
    <t>0804</t>
  </si>
  <si>
    <t>-0822</t>
  </si>
  <si>
    <t>3321</t>
  </si>
  <si>
    <t>1707</t>
  </si>
  <si>
    <t>Scaredycat - Lime left rump, mixed with orange</t>
  </si>
  <si>
    <t>2109</t>
  </si>
  <si>
    <t>-0619</t>
  </si>
  <si>
    <t>0403</t>
  </si>
  <si>
    <t>2816</t>
  </si>
  <si>
    <t>3518</t>
  </si>
  <si>
    <t>0802</t>
  </si>
  <si>
    <t>0905</t>
  </si>
  <si>
    <t>AGM16032</t>
  </si>
  <si>
    <t>Lucius - Orange left chest + Lime right bum</t>
  </si>
  <si>
    <t>Faux - Lime right chest + Orange right bum</t>
  </si>
  <si>
    <t>2208</t>
  </si>
  <si>
    <t>-0721</t>
  </si>
  <si>
    <t>1000</t>
  </si>
  <si>
    <t>AGM16033</t>
  </si>
  <si>
    <t>0902</t>
  </si>
  <si>
    <t>0801</t>
  </si>
  <si>
    <t>2612</t>
  </si>
  <si>
    <t>2609</t>
  </si>
  <si>
    <t>2317</t>
  </si>
  <si>
    <t>2607</t>
  </si>
  <si>
    <t>2110</t>
  </si>
  <si>
    <t>-0122</t>
  </si>
  <si>
    <t>2815</t>
  </si>
  <si>
    <t>-0217</t>
  </si>
  <si>
    <t>0806</t>
  </si>
  <si>
    <t>0800</t>
  </si>
  <si>
    <t>0510</t>
  </si>
  <si>
    <t>1015</t>
  </si>
  <si>
    <t>1107</t>
  </si>
  <si>
    <t>-0218</t>
  </si>
  <si>
    <t>0117</t>
  </si>
  <si>
    <t>1912</t>
  </si>
  <si>
    <t>3307</t>
  </si>
  <si>
    <t>-0615</t>
  </si>
  <si>
    <t>0213</t>
  </si>
  <si>
    <t>0709</t>
  </si>
  <si>
    <t>2311</t>
  </si>
  <si>
    <t>Intertidal</t>
  </si>
  <si>
    <t>3109</t>
  </si>
  <si>
    <t>2915</t>
  </si>
  <si>
    <t>0620</t>
  </si>
  <si>
    <t>Lemon Lime - Yellow between shoulder blades, Lime rump</t>
  </si>
  <si>
    <t>AGM16034</t>
  </si>
  <si>
    <t>3311</t>
  </si>
  <si>
    <t>3011</t>
  </si>
  <si>
    <t>1809</t>
  </si>
  <si>
    <t>0310</t>
  </si>
  <si>
    <t>AGM16035</t>
  </si>
  <si>
    <t>Cumberdick bendybatch - Orange right chest, Blue left chest</t>
  </si>
  <si>
    <t>AGM16036</t>
  </si>
  <si>
    <t>Fidget - yellow left chest</t>
  </si>
  <si>
    <t>2012</t>
  </si>
  <si>
    <t>3110</t>
  </si>
  <si>
    <t>0413020E65</t>
  </si>
  <si>
    <t>AGM16037</t>
  </si>
  <si>
    <t>AGM16038</t>
  </si>
  <si>
    <t>1016</t>
  </si>
  <si>
    <t>1817</t>
  </si>
  <si>
    <t>0214</t>
  </si>
  <si>
    <t>0206</t>
  </si>
  <si>
    <t>0607</t>
  </si>
  <si>
    <t>2912</t>
  </si>
  <si>
    <t>0805</t>
  </si>
  <si>
    <t>0817</t>
  </si>
  <si>
    <t>1213</t>
  </si>
  <si>
    <t>Algae - Blue left shoulder + Green back</t>
  </si>
  <si>
    <t>Harry - Blue left rump + lime right rump</t>
  </si>
  <si>
    <t>0703</t>
  </si>
  <si>
    <t>2811</t>
  </si>
  <si>
    <t>3215</t>
  </si>
  <si>
    <t>2111</t>
  </si>
  <si>
    <t>1608</t>
  </si>
  <si>
    <t>1612</t>
  </si>
  <si>
    <t>1212</t>
  </si>
  <si>
    <t>1313</t>
  </si>
  <si>
    <t>0718</t>
  </si>
  <si>
    <t>1714</t>
  </si>
  <si>
    <t>AGM16039</t>
  </si>
  <si>
    <t>-0416</t>
  </si>
  <si>
    <t>AGM16040</t>
  </si>
  <si>
    <t>AGM16041</t>
  </si>
  <si>
    <t>AGM16042</t>
  </si>
  <si>
    <t>2310</t>
  </si>
  <si>
    <t>0719</t>
  </si>
  <si>
    <t>1414</t>
  </si>
  <si>
    <t>-0321</t>
  </si>
  <si>
    <t>Double bum - Pink and Blue on left Rump</t>
  </si>
  <si>
    <t>Kellog - Blue back head, Pink Chest</t>
  </si>
  <si>
    <t>Ladyboy - Pink between shoulder blades, blue on rump, small blue spot on bottom of chest</t>
  </si>
  <si>
    <t>Stripey - Blue stripe and patch on chest, pink on right shoulder</t>
  </si>
  <si>
    <t>0015</t>
  </si>
  <si>
    <t>0311</t>
  </si>
  <si>
    <t>1011</t>
  </si>
  <si>
    <t>1510</t>
  </si>
  <si>
    <t>1408</t>
  </si>
  <si>
    <t>1807</t>
  </si>
  <si>
    <t>1917</t>
  </si>
  <si>
    <t>2410</t>
  </si>
  <si>
    <t>3210</t>
  </si>
  <si>
    <t>intertidal</t>
  </si>
  <si>
    <t>0811</t>
  </si>
  <si>
    <t>0915</t>
  </si>
  <si>
    <t>2211</t>
  </si>
  <si>
    <t>2812</t>
  </si>
  <si>
    <t>0700</t>
  </si>
  <si>
    <t>1211</t>
  </si>
  <si>
    <t>1613</t>
  </si>
  <si>
    <t>0720</t>
  </si>
  <si>
    <t>1311</t>
  </si>
  <si>
    <t>1314</t>
  </si>
  <si>
    <t>2318</t>
  </si>
  <si>
    <t>1709</t>
  </si>
  <si>
    <t>2814</t>
  </si>
  <si>
    <t>3618</t>
  </si>
  <si>
    <t>0219</t>
  </si>
  <si>
    <t>0810</t>
  </si>
  <si>
    <t>0904</t>
  </si>
  <si>
    <t>0919</t>
  </si>
  <si>
    <t>3309</t>
  </si>
  <si>
    <t>2411</t>
  </si>
  <si>
    <t>0818</t>
  </si>
  <si>
    <t>1509</t>
  </si>
  <si>
    <t>2914</t>
  </si>
  <si>
    <t>3111</t>
  </si>
  <si>
    <t>-0220</t>
  </si>
  <si>
    <t>2215</t>
  </si>
  <si>
    <t>0910</t>
  </si>
  <si>
    <t>1206</t>
  </si>
  <si>
    <t>1914</t>
  </si>
  <si>
    <t>0404</t>
  </si>
  <si>
    <t>0619</t>
  </si>
  <si>
    <t>3010</t>
  </si>
  <si>
    <t>0918</t>
  </si>
  <si>
    <t>1013</t>
  </si>
  <si>
    <t>2212</t>
  </si>
  <si>
    <t>2916</t>
  </si>
  <si>
    <t>0320</t>
  </si>
  <si>
    <t>1014</t>
  </si>
  <si>
    <t>1913</t>
  </si>
  <si>
    <t>2414</t>
  </si>
  <si>
    <t>0305</t>
  </si>
  <si>
    <t>-0120</t>
  </si>
  <si>
    <t>2817</t>
  </si>
  <si>
    <t>INT</t>
  </si>
  <si>
    <t>0520</t>
  </si>
  <si>
    <t>3113</t>
  </si>
  <si>
    <t>1109</t>
  </si>
  <si>
    <t>0809</t>
  </si>
  <si>
    <t>0411</t>
  </si>
  <si>
    <t>0618</t>
  </si>
  <si>
    <t>AGM16043</t>
  </si>
  <si>
    <t>Boxer blue bum - 3 blue dots on rump</t>
  </si>
  <si>
    <t>0908</t>
  </si>
  <si>
    <t>AGM16044</t>
  </si>
  <si>
    <t>AGM16045</t>
  </si>
  <si>
    <t>AGM16046</t>
  </si>
  <si>
    <t>04162E677D</t>
  </si>
  <si>
    <t>Hermione - Orange bum, Pink neck</t>
  </si>
  <si>
    <t>Dumbledore - Orange left bum, Pink right bum</t>
  </si>
  <si>
    <t>Hagrid - Orange and pink on left shoulder</t>
  </si>
  <si>
    <t>1614</t>
  </si>
  <si>
    <t>1906</t>
  </si>
  <si>
    <t>2112</t>
  </si>
  <si>
    <t>0113</t>
  </si>
  <si>
    <t>1412</t>
  </si>
  <si>
    <t>0914</t>
  </si>
  <si>
    <t>-0209</t>
  </si>
  <si>
    <t>3214</t>
  </si>
  <si>
    <t>1316</t>
  </si>
  <si>
    <t>AGM16047</t>
  </si>
  <si>
    <t>Wimpy - Pink and lime on right chest</t>
  </si>
  <si>
    <t>AGM16048</t>
  </si>
  <si>
    <t>Lupin - 2 pink dots on chest, 1 lime on mid back</t>
  </si>
  <si>
    <t>0005</t>
  </si>
  <si>
    <t>Tonk - 4 orange dots in a square. Blue in middle.</t>
  </si>
  <si>
    <t>0316</t>
  </si>
  <si>
    <t>2312</t>
  </si>
  <si>
    <t>2418</t>
  </si>
  <si>
    <t>2913</t>
  </si>
  <si>
    <t>3612</t>
  </si>
  <si>
    <t>3617</t>
  </si>
  <si>
    <t>3114</t>
  </si>
  <si>
    <t>AGM16049</t>
  </si>
  <si>
    <t>AGM16050</t>
  </si>
  <si>
    <t>AGM16051</t>
  </si>
  <si>
    <t>AGM16020 + AGM16052</t>
  </si>
  <si>
    <t>Bluebottle -blue, orange, blue, orange, blue down spine</t>
  </si>
  <si>
    <t>Trio - 2 x orange on chest, with blue in between. Blue shoulder.</t>
  </si>
  <si>
    <t>Art - Blue on left bum. 2 x orange on left bum. Orange right shoulder</t>
  </si>
  <si>
    <t>Bruiser - Blue + orange neck</t>
  </si>
  <si>
    <t>2707</t>
  </si>
  <si>
    <t>1810</t>
  </si>
  <si>
    <t>0509</t>
  </si>
  <si>
    <t>-0626</t>
  </si>
  <si>
    <t>0505</t>
  </si>
  <si>
    <t>1417</t>
  </si>
  <si>
    <t>1017</t>
  </si>
  <si>
    <t>2513</t>
  </si>
  <si>
    <t>1308</t>
  </si>
  <si>
    <t>3608</t>
  </si>
  <si>
    <t>0705</t>
  </si>
  <si>
    <t>0519</t>
  </si>
  <si>
    <t>0909</t>
  </si>
  <si>
    <t>AGM16053</t>
  </si>
  <si>
    <t>Pink-eye - Pink behind right eye, around to neck</t>
  </si>
  <si>
    <t>1317</t>
  </si>
  <si>
    <t>2007</t>
  </si>
  <si>
    <t>-0624</t>
  </si>
  <si>
    <t>2715</t>
  </si>
  <si>
    <t>0605</t>
  </si>
  <si>
    <t>1103</t>
  </si>
  <si>
    <t>3407</t>
  </si>
  <si>
    <t>0018</t>
  </si>
  <si>
    <t>1507</t>
  </si>
  <si>
    <t>1106</t>
  </si>
  <si>
    <t>1702</t>
  </si>
  <si>
    <t>AGM16054</t>
  </si>
  <si>
    <t>AGM16055</t>
  </si>
  <si>
    <t>Banana - yellow neck</t>
  </si>
  <si>
    <t>Pith - blue right bum, yellow neck</t>
  </si>
  <si>
    <t>-0114</t>
  </si>
  <si>
    <t>-0117</t>
  </si>
  <si>
    <t>2206</t>
  </si>
  <si>
    <t>2219</t>
  </si>
  <si>
    <t>0717</t>
  </si>
  <si>
    <t>3314</t>
  </si>
  <si>
    <t>1105</t>
  </si>
  <si>
    <t>1415</t>
  </si>
  <si>
    <t>0020</t>
  </si>
  <si>
    <t>3607</t>
  </si>
  <si>
    <t>0604</t>
  </si>
  <si>
    <t>-0119</t>
  </si>
  <si>
    <t>3207</t>
  </si>
  <si>
    <t>1312</t>
  </si>
  <si>
    <t>1910</t>
  </si>
  <si>
    <t>2013</t>
  </si>
  <si>
    <t>2615</t>
  </si>
  <si>
    <t>2116</t>
  </si>
  <si>
    <t>2307</t>
  </si>
  <si>
    <t>-0306</t>
  </si>
  <si>
    <t>3225</t>
  </si>
  <si>
    <t>AGM16056</t>
  </si>
  <si>
    <t>BB8 - blue left mid, and blue left shoulder</t>
  </si>
  <si>
    <t>AGM16057</t>
  </si>
  <si>
    <t>Gok - Pink right shoulder and left mid back</t>
  </si>
  <si>
    <t>3526</t>
  </si>
  <si>
    <t>0721</t>
  </si>
  <si>
    <t>AGM16058</t>
  </si>
  <si>
    <t>DEAD - found in Wanderer stream. Lime mid shoulder. Blue right rump. Probably 'Fairtrade', serial: AGM16028</t>
  </si>
  <si>
    <t>-0620</t>
  </si>
  <si>
    <t>2917</t>
  </si>
  <si>
    <t>3224</t>
  </si>
  <si>
    <t>0302</t>
  </si>
  <si>
    <t>2807</t>
  </si>
  <si>
    <t>3322</t>
  </si>
  <si>
    <t>0606</t>
  </si>
  <si>
    <t>2316</t>
  </si>
  <si>
    <t>AGM16059</t>
  </si>
  <si>
    <t>AGM16060</t>
  </si>
  <si>
    <t>AGM16061</t>
  </si>
  <si>
    <t>Yadal - Green bum with pink above</t>
  </si>
  <si>
    <t>Minion - Pink mid back, green left shoulder</t>
  </si>
  <si>
    <t>Kat - Pink left shoulder and pink mid back</t>
  </si>
  <si>
    <t>3222</t>
  </si>
  <si>
    <t>0608</t>
  </si>
  <si>
    <t>1307</t>
  </si>
  <si>
    <t>-0207</t>
  </si>
  <si>
    <t>1112</t>
  </si>
  <si>
    <t>AGM16062</t>
  </si>
  <si>
    <t>Fin - Blue right shoulder + chest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</si>
</sst>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rgb="FFFFFF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55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58">
    <xf numFmtId="0" fontId="0" fillId="0" borderId="0" xfId="0"/>
    <xf numFmtId="49" fontId="0" fillId="0" borderId="0" xfId="0" applyNumberFormat="1"/>
    <xf numFmtId="0" fontId="1" fillId="0" borderId="0" xfId="0" applyFont="1"/>
    <xf numFmtId="2" fontId="1" fillId="0" borderId="1" xfId="0" applyNumberFormat="1" applyFont="1" applyBorder="1"/>
    <xf numFmtId="49" fontId="0" fillId="0" borderId="0" xfId="0" applyNumberFormat="1" applyFill="1"/>
    <xf numFmtId="49" fontId="1" fillId="0" borderId="0" xfId="0" applyNumberFormat="1" applyFont="1"/>
    <xf numFmtId="49" fontId="2" fillId="0" borderId="0" xfId="0" applyNumberFormat="1" applyFont="1"/>
    <xf numFmtId="49" fontId="2" fillId="0" borderId="0" xfId="0" applyNumberFormat="1" applyFont="1" applyFill="1"/>
    <xf numFmtId="0" fontId="0" fillId="0" borderId="0" xfId="0" applyFill="1"/>
    <xf numFmtId="0" fontId="2" fillId="0" borderId="0" xfId="0" applyFont="1" applyFill="1"/>
    <xf numFmtId="49" fontId="2" fillId="0" borderId="0" xfId="0" applyNumberFormat="1" applyFont="1" applyFill="1" applyAlignment="1">
      <alignment horizontal="left"/>
    </xf>
    <xf numFmtId="0" fontId="2" fillId="0" borderId="0" xfId="0" applyFont="1"/>
    <xf numFmtId="0" fontId="0" fillId="0" borderId="0" xfId="0" applyFont="1" applyFill="1"/>
    <xf numFmtId="0" fontId="0" fillId="0" borderId="2" xfId="0" applyBorder="1"/>
    <xf numFmtId="0" fontId="1" fillId="0" borderId="0" xfId="0" applyFont="1" applyFill="1"/>
    <xf numFmtId="0" fontId="1" fillId="0" borderId="0" xfId="0" applyNumberFormat="1" applyFont="1" applyFill="1"/>
    <xf numFmtId="49" fontId="1" fillId="0" borderId="0" xfId="0" applyNumberFormat="1" applyFont="1" applyFill="1"/>
    <xf numFmtId="15" fontId="1" fillId="0" borderId="0" xfId="0" applyNumberFormat="1" applyFont="1" applyFill="1"/>
    <xf numFmtId="2" fontId="0" fillId="0" borderId="0" xfId="0" applyNumberFormat="1" applyFill="1"/>
    <xf numFmtId="2" fontId="2" fillId="0" borderId="0" xfId="0" applyNumberFormat="1" applyFont="1" applyFill="1"/>
    <xf numFmtId="2" fontId="2" fillId="0" borderId="0" xfId="0" applyNumberFormat="1" applyFont="1"/>
    <xf numFmtId="2" fontId="0" fillId="0" borderId="0" xfId="0" applyNumberFormat="1"/>
    <xf numFmtId="0" fontId="0" fillId="0" borderId="0" xfId="0" applyFill="1" applyBorder="1"/>
    <xf numFmtId="0" fontId="2" fillId="0" borderId="0" xfId="0" applyFont="1" applyFill="1" applyBorder="1"/>
    <xf numFmtId="0" fontId="2" fillId="0" borderId="0" xfId="0" applyFont="1" applyBorder="1"/>
    <xf numFmtId="49" fontId="2" fillId="0" borderId="0" xfId="0" applyNumberFormat="1" applyFont="1" applyBorder="1"/>
    <xf numFmtId="49" fontId="0" fillId="0" borderId="0" xfId="0" applyNumberFormat="1" applyBorder="1"/>
    <xf numFmtId="0" fontId="0" fillId="0" borderId="0" xfId="0" applyBorder="1"/>
    <xf numFmtId="2" fontId="1" fillId="0" borderId="0" xfId="0" applyNumberFormat="1" applyFont="1" applyFill="1" applyBorder="1"/>
    <xf numFmtId="49" fontId="1" fillId="0" borderId="0" xfId="0" applyNumberFormat="1" applyFont="1" applyBorder="1"/>
    <xf numFmtId="2" fontId="1" fillId="0" borderId="0" xfId="0" applyNumberFormat="1" applyFont="1" applyBorder="1"/>
    <xf numFmtId="1" fontId="4" fillId="0" borderId="0" xfId="0" applyNumberFormat="1" applyFont="1"/>
    <xf numFmtId="49" fontId="0" fillId="0" borderId="0" xfId="0" applyNumberFormat="1" applyFill="1" applyAlignment="1">
      <alignment horizontal="left"/>
    </xf>
    <xf numFmtId="0" fontId="6" fillId="0" borderId="0" xfId="0" applyFont="1" applyFill="1"/>
    <xf numFmtId="49" fontId="0" fillId="0" borderId="0" xfId="0" applyNumberFormat="1" applyFill="1" applyAlignment="1">
      <alignment horizontal="center"/>
    </xf>
    <xf numFmtId="49" fontId="3" fillId="0" borderId="0" xfId="0" applyNumberFormat="1" applyFont="1" applyFill="1"/>
    <xf numFmtId="0" fontId="2" fillId="2" borderId="0" xfId="0" applyFont="1" applyFill="1"/>
    <xf numFmtId="49" fontId="2" fillId="2" borderId="0" xfId="0" applyNumberFormat="1" applyFont="1" applyFill="1"/>
    <xf numFmtId="0" fontId="0" fillId="2" borderId="0" xfId="0" applyFill="1"/>
    <xf numFmtId="0" fontId="2" fillId="3" borderId="0" xfId="0" applyFont="1" applyFill="1"/>
    <xf numFmtId="49" fontId="0" fillId="0" borderId="0" xfId="0" applyNumberFormat="1" applyFont="1" applyFill="1"/>
    <xf numFmtId="11" fontId="0" fillId="0" borderId="0" xfId="0" applyNumberFormat="1" applyFill="1"/>
    <xf numFmtId="0" fontId="0" fillId="0" borderId="0" xfId="0" applyFont="1"/>
    <xf numFmtId="0" fontId="0" fillId="0" borderId="0" xfId="0" applyFont="1" applyFill="1" applyBorder="1"/>
    <xf numFmtId="2" fontId="0" fillId="0" borderId="0" xfId="0" applyNumberFormat="1" applyFont="1" applyFill="1"/>
    <xf numFmtId="49" fontId="2" fillId="0" borderId="0" xfId="0" applyNumberFormat="1" applyFont="1" applyBorder="1" applyAlignment="1">
      <alignment horizontal="left"/>
    </xf>
    <xf numFmtId="0" fontId="0" fillId="4" borderId="0" xfId="0" applyFont="1" applyFill="1"/>
    <xf numFmtId="0" fontId="2" fillId="4" borderId="0" xfId="0" applyFont="1" applyFill="1"/>
    <xf numFmtId="49" fontId="2" fillId="4" borderId="0" xfId="0" applyNumberFormat="1" applyFont="1" applyFill="1"/>
    <xf numFmtId="49" fontId="0" fillId="4" borderId="0" xfId="0" applyNumberFormat="1" applyFill="1"/>
    <xf numFmtId="0" fontId="0" fillId="4" borderId="0" xfId="0" applyFill="1"/>
    <xf numFmtId="49" fontId="0" fillId="4" borderId="0" xfId="0" applyNumberFormat="1" applyFont="1" applyFill="1"/>
    <xf numFmtId="49" fontId="0" fillId="4" borderId="0" xfId="0" applyNumberFormat="1" applyFill="1" applyAlignment="1">
      <alignment horizontal="left"/>
    </xf>
    <xf numFmtId="49" fontId="0" fillId="5" borderId="0" xfId="0" applyNumberFormat="1" applyFill="1"/>
    <xf numFmtId="0" fontId="0" fillId="0" borderId="0" xfId="0" applyFill="1" applyAlignment="1">
      <alignment horizontal="left"/>
    </xf>
    <xf numFmtId="11" fontId="2" fillId="0" borderId="0" xfId="0" applyNumberFormat="1" applyFont="1" applyFill="1"/>
    <xf numFmtId="0" fontId="5" fillId="0" borderId="0" xfId="0" applyFont="1"/>
    <xf numFmtId="0" fontId="10" fillId="0" borderId="0" xfId="0" applyFont="1" applyAlignment="1">
      <alignment horizontal="left"/>
    </xf>
  </cellXfs>
  <cellStyles count="5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Normal" xfId="0" builtinId="0"/>
  </cellStyles>
  <dxfs count="9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6600"/>
      <color rgb="FFFF33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scatterChart>
        <c:scatterStyle val="lineMarker"/>
        <c:ser>
          <c:idx val="0"/>
          <c:order val="0"/>
          <c:tx>
            <c:v>Males</c:v>
          </c:tx>
          <c:spPr>
            <a:ln w="19050"/>
          </c:spPr>
          <c:marker>
            <c:symbol val="diamond"/>
            <c:size val="4"/>
          </c:marker>
          <c:xVal>
            <c:numRef>
              <c:f>'2015-2016'!$G$2:$BO$2</c:f>
              <c:numCache>
                <c:formatCode>dd\-mmm\-yy</c:formatCode>
                <c:ptCount val="61"/>
                <c:pt idx="0">
                  <c:v>42675</c:v>
                </c:pt>
                <c:pt idx="1">
                  <c:v>42676</c:v>
                </c:pt>
                <c:pt idx="2">
                  <c:v>42677</c:v>
                </c:pt>
                <c:pt idx="3">
                  <c:v>42678</c:v>
                </c:pt>
                <c:pt idx="4">
                  <c:v>42679</c:v>
                </c:pt>
                <c:pt idx="5">
                  <c:v>42680</c:v>
                </c:pt>
                <c:pt idx="6">
                  <c:v>42681</c:v>
                </c:pt>
                <c:pt idx="7">
                  <c:v>42682</c:v>
                </c:pt>
                <c:pt idx="8">
                  <c:v>42683</c:v>
                </c:pt>
                <c:pt idx="9">
                  <c:v>42684</c:v>
                </c:pt>
                <c:pt idx="10">
                  <c:v>42685</c:v>
                </c:pt>
                <c:pt idx="11">
                  <c:v>42686</c:v>
                </c:pt>
                <c:pt idx="12">
                  <c:v>42687</c:v>
                </c:pt>
                <c:pt idx="13">
                  <c:v>42688</c:v>
                </c:pt>
                <c:pt idx="14">
                  <c:v>42689</c:v>
                </c:pt>
                <c:pt idx="15">
                  <c:v>42690</c:v>
                </c:pt>
                <c:pt idx="16">
                  <c:v>42691</c:v>
                </c:pt>
                <c:pt idx="17">
                  <c:v>42692</c:v>
                </c:pt>
                <c:pt idx="18">
                  <c:v>42693</c:v>
                </c:pt>
                <c:pt idx="19">
                  <c:v>42694</c:v>
                </c:pt>
                <c:pt idx="20">
                  <c:v>42695</c:v>
                </c:pt>
                <c:pt idx="21">
                  <c:v>42696</c:v>
                </c:pt>
                <c:pt idx="22">
                  <c:v>42697</c:v>
                </c:pt>
                <c:pt idx="23">
                  <c:v>42698</c:v>
                </c:pt>
                <c:pt idx="24">
                  <c:v>42699</c:v>
                </c:pt>
                <c:pt idx="25">
                  <c:v>42700</c:v>
                </c:pt>
                <c:pt idx="26">
                  <c:v>42701</c:v>
                </c:pt>
                <c:pt idx="27">
                  <c:v>42702</c:v>
                </c:pt>
                <c:pt idx="28">
                  <c:v>42703</c:v>
                </c:pt>
                <c:pt idx="29">
                  <c:v>42704</c:v>
                </c:pt>
                <c:pt idx="30">
                  <c:v>42705</c:v>
                </c:pt>
                <c:pt idx="31">
                  <c:v>42706</c:v>
                </c:pt>
                <c:pt idx="32">
                  <c:v>42707</c:v>
                </c:pt>
                <c:pt idx="33">
                  <c:v>42708</c:v>
                </c:pt>
                <c:pt idx="34">
                  <c:v>42709</c:v>
                </c:pt>
                <c:pt idx="35">
                  <c:v>42710</c:v>
                </c:pt>
                <c:pt idx="36">
                  <c:v>42711</c:v>
                </c:pt>
                <c:pt idx="37">
                  <c:v>42712</c:v>
                </c:pt>
                <c:pt idx="38">
                  <c:v>42713</c:v>
                </c:pt>
                <c:pt idx="39">
                  <c:v>42714</c:v>
                </c:pt>
                <c:pt idx="40">
                  <c:v>42715</c:v>
                </c:pt>
                <c:pt idx="41">
                  <c:v>42716</c:v>
                </c:pt>
                <c:pt idx="42">
                  <c:v>42717</c:v>
                </c:pt>
                <c:pt idx="43">
                  <c:v>42718</c:v>
                </c:pt>
                <c:pt idx="44">
                  <c:v>42719</c:v>
                </c:pt>
                <c:pt idx="45">
                  <c:v>42720</c:v>
                </c:pt>
                <c:pt idx="46">
                  <c:v>42721</c:v>
                </c:pt>
                <c:pt idx="47">
                  <c:v>42722</c:v>
                </c:pt>
                <c:pt idx="48">
                  <c:v>42723</c:v>
                </c:pt>
                <c:pt idx="49">
                  <c:v>42724</c:v>
                </c:pt>
                <c:pt idx="50">
                  <c:v>42725</c:v>
                </c:pt>
                <c:pt idx="51">
                  <c:v>42726</c:v>
                </c:pt>
                <c:pt idx="52">
                  <c:v>42727</c:v>
                </c:pt>
                <c:pt idx="53">
                  <c:v>42728</c:v>
                </c:pt>
                <c:pt idx="54">
                  <c:v>42729</c:v>
                </c:pt>
                <c:pt idx="55">
                  <c:v>42730</c:v>
                </c:pt>
                <c:pt idx="56">
                  <c:v>42731</c:v>
                </c:pt>
                <c:pt idx="57">
                  <c:v>42732</c:v>
                </c:pt>
                <c:pt idx="58">
                  <c:v>42733</c:v>
                </c:pt>
                <c:pt idx="59">
                  <c:v>42734</c:v>
                </c:pt>
                <c:pt idx="60">
                  <c:v>42735</c:v>
                </c:pt>
              </c:numCache>
            </c:numRef>
          </c:xVal>
          <c:yVal>
            <c:numRef>
              <c:f>'2015-2016'!$G$1:$BO$1</c:f>
              <c:numCache>
                <c:formatCode>0</c:formatCode>
                <c:ptCount val="61"/>
                <c:pt idx="0">
                  <c:v>6</c:v>
                </c:pt>
                <c:pt idx="1">
                  <c:v>7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11</c:v>
                </c:pt>
                <c:pt idx="7">
                  <c:v>11</c:v>
                </c:pt>
                <c:pt idx="8">
                  <c:v>13</c:v>
                </c:pt>
                <c:pt idx="9">
                  <c:v>14</c:v>
                </c:pt>
                <c:pt idx="10">
                  <c:v>13</c:v>
                </c:pt>
                <c:pt idx="11">
                  <c:v>15</c:v>
                </c:pt>
                <c:pt idx="12">
                  <c:v>19</c:v>
                </c:pt>
                <c:pt idx="13">
                  <c:v>19</c:v>
                </c:pt>
                <c:pt idx="14">
                  <c:v>20</c:v>
                </c:pt>
                <c:pt idx="15">
                  <c:v>21</c:v>
                </c:pt>
                <c:pt idx="16">
                  <c:v>22</c:v>
                </c:pt>
                <c:pt idx="17">
                  <c:v>23</c:v>
                </c:pt>
                <c:pt idx="18">
                  <c:v>20</c:v>
                </c:pt>
                <c:pt idx="19">
                  <c:v>21</c:v>
                </c:pt>
                <c:pt idx="20">
                  <c:v>21</c:v>
                </c:pt>
                <c:pt idx="21">
                  <c:v>22</c:v>
                </c:pt>
                <c:pt idx="22">
                  <c:v>22</c:v>
                </c:pt>
                <c:pt idx="23">
                  <c:v>20</c:v>
                </c:pt>
                <c:pt idx="24">
                  <c:v>22</c:v>
                </c:pt>
                <c:pt idx="25">
                  <c:v>20</c:v>
                </c:pt>
                <c:pt idx="26">
                  <c:v>19</c:v>
                </c:pt>
                <c:pt idx="27">
                  <c:v>20</c:v>
                </c:pt>
                <c:pt idx="28">
                  <c:v>20</c:v>
                </c:pt>
                <c:pt idx="29">
                  <c:v>21</c:v>
                </c:pt>
                <c:pt idx="30">
                  <c:v>20</c:v>
                </c:pt>
                <c:pt idx="31">
                  <c:v>24</c:v>
                </c:pt>
                <c:pt idx="32">
                  <c:v>26</c:v>
                </c:pt>
                <c:pt idx="33">
                  <c:v>25</c:v>
                </c:pt>
                <c:pt idx="34">
                  <c:v>22</c:v>
                </c:pt>
                <c:pt idx="35">
                  <c:v>23</c:v>
                </c:pt>
                <c:pt idx="36">
                  <c:v>24</c:v>
                </c:pt>
                <c:pt idx="37">
                  <c:v>20</c:v>
                </c:pt>
                <c:pt idx="38">
                  <c:v>25</c:v>
                </c:pt>
                <c:pt idx="39">
                  <c:v>21</c:v>
                </c:pt>
                <c:pt idx="40">
                  <c:v>23</c:v>
                </c:pt>
                <c:pt idx="41">
                  <c:v>21</c:v>
                </c:pt>
                <c:pt idx="42">
                  <c:v>23</c:v>
                </c:pt>
                <c:pt idx="43">
                  <c:v>25</c:v>
                </c:pt>
                <c:pt idx="44">
                  <c:v>26</c:v>
                </c:pt>
                <c:pt idx="45">
                  <c:v>30</c:v>
                </c:pt>
                <c:pt idx="46">
                  <c:v>27</c:v>
                </c:pt>
                <c:pt idx="47">
                  <c:v>29</c:v>
                </c:pt>
                <c:pt idx="48">
                  <c:v>26</c:v>
                </c:pt>
                <c:pt idx="49">
                  <c:v>26</c:v>
                </c:pt>
                <c:pt idx="50">
                  <c:v>30</c:v>
                </c:pt>
                <c:pt idx="51">
                  <c:v>27</c:v>
                </c:pt>
                <c:pt idx="52">
                  <c:v>27</c:v>
                </c:pt>
                <c:pt idx="53">
                  <c:v>26</c:v>
                </c:pt>
                <c:pt idx="54">
                  <c:v>23</c:v>
                </c:pt>
                <c:pt idx="55">
                  <c:v>21</c:v>
                </c:pt>
                <c:pt idx="56">
                  <c:v>22</c:v>
                </c:pt>
                <c:pt idx="57">
                  <c:v>22</c:v>
                </c:pt>
                <c:pt idx="58">
                  <c:v>20</c:v>
                </c:pt>
                <c:pt idx="59">
                  <c:v>22</c:v>
                </c:pt>
                <c:pt idx="60">
                  <c:v>18</c:v>
                </c:pt>
              </c:numCache>
            </c:numRef>
          </c:yVal>
        </c:ser>
        <c:axId val="124216064"/>
        <c:axId val="210105856"/>
      </c:scatterChart>
      <c:valAx>
        <c:axId val="1242160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Date</a:t>
                </a:r>
              </a:p>
            </c:rich>
          </c:tx>
        </c:title>
        <c:numFmt formatCode="dd\-mmm\-yy" sourceLinked="1"/>
        <c:majorTickMark val="none"/>
        <c:tickLblPos val="nextTo"/>
        <c:crossAx val="210105856"/>
        <c:crosses val="autoZero"/>
        <c:crossBetween val="midCat"/>
        <c:majorUnit val="10"/>
      </c:valAx>
      <c:valAx>
        <c:axId val="210105856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Frequency</a:t>
                </a:r>
              </a:p>
            </c:rich>
          </c:tx>
        </c:title>
        <c:numFmt formatCode="0" sourceLinked="1"/>
        <c:majorTickMark val="none"/>
        <c:tickLblPos val="nextTo"/>
        <c:crossAx val="124216064"/>
        <c:crosses val="autoZero"/>
        <c:crossBetween val="midCat"/>
      </c:valAx>
    </c:plotArea>
    <c:plotVisOnly val="1"/>
    <c:dispBlanksAs val="gap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3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17121" cy="5618788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DH297"/>
  <sheetViews>
    <sheetView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C1" sqref="C1"/>
    </sheetView>
  </sheetViews>
  <sheetFormatPr defaultColWidth="8.85546875" defaultRowHeight="12.75"/>
  <cols>
    <col min="1" max="1" width="15.7109375" style="12" customWidth="1"/>
    <col min="2" max="2" width="20.42578125" style="8" customWidth="1"/>
    <col min="3" max="3" width="14.28515625" customWidth="1"/>
    <col min="4" max="4" width="70.140625" style="11" customWidth="1"/>
    <col min="5" max="5" width="9.28515625" style="1" bestFit="1" customWidth="1"/>
    <col min="6" max="6" width="6.42578125" style="1" customWidth="1"/>
    <col min="7" max="7" width="11.42578125" style="1" customWidth="1"/>
    <col min="8" max="8" width="10.28515625" style="1" bestFit="1" customWidth="1"/>
    <col min="9" max="35" width="9.28515625" style="1" bestFit="1" customWidth="1"/>
    <col min="36" max="36" width="10" style="1" customWidth="1"/>
    <col min="37" max="37" width="10.7109375" style="1" customWidth="1"/>
    <col min="38" max="38" width="11.42578125" style="1" customWidth="1"/>
    <col min="39" max="39" width="11" style="1" customWidth="1"/>
    <col min="40" max="40" width="11.28515625" style="1" customWidth="1"/>
    <col min="41" max="41" width="11.42578125" style="1" customWidth="1"/>
    <col min="42" max="42" width="12.28515625" style="1" customWidth="1"/>
    <col min="43" max="43" width="11.85546875" style="1" customWidth="1"/>
    <col min="44" max="44" width="11.140625" style="1" customWidth="1"/>
    <col min="45" max="45" width="12.85546875" style="1" customWidth="1"/>
    <col min="46" max="46" width="11.42578125" style="1" customWidth="1"/>
    <col min="47" max="47" width="11.28515625" style="1" customWidth="1"/>
    <col min="48" max="48" width="12.42578125" style="1" customWidth="1"/>
    <col min="49" max="49" width="9.42578125" style="1" bestFit="1" customWidth="1"/>
    <col min="50" max="50" width="12.140625" style="1" customWidth="1"/>
    <col min="51" max="51" width="12" style="1" customWidth="1"/>
    <col min="52" max="52" width="13.85546875" style="1" customWidth="1"/>
    <col min="53" max="53" width="9.42578125" style="1" bestFit="1" customWidth="1"/>
    <col min="54" max="54" width="11.42578125" style="1" customWidth="1"/>
    <col min="55" max="55" width="13.42578125" style="1" customWidth="1"/>
    <col min="56" max="56" width="9.42578125" style="1" bestFit="1" customWidth="1"/>
    <col min="57" max="57" width="11.85546875" style="1" customWidth="1"/>
    <col min="58" max="58" width="12.42578125" style="1" customWidth="1"/>
    <col min="59" max="62" width="9.42578125" style="1" bestFit="1" customWidth="1"/>
    <col min="63" max="63" width="11.85546875" style="1" customWidth="1"/>
    <col min="64" max="64" width="12.85546875" style="1" customWidth="1"/>
    <col min="65" max="65" width="15.42578125" style="1" customWidth="1"/>
    <col min="66" max="66" width="14.28515625" style="1" customWidth="1"/>
    <col min="67" max="67" width="12.42578125" style="1" customWidth="1"/>
    <col min="68" max="72" width="9.28515625" style="1" bestFit="1" customWidth="1"/>
    <col min="73" max="77" width="10.28515625" style="1" bestFit="1" customWidth="1"/>
  </cols>
  <sheetData>
    <row r="1" spans="1:104" ht="15">
      <c r="C1" s="57">
        <f>COUNTIF(C3:C65,"agm*")</f>
        <v>61</v>
      </c>
      <c r="D1" s="56" t="s">
        <v>15</v>
      </c>
      <c r="E1" s="56"/>
      <c r="F1" s="56"/>
      <c r="G1" s="31">
        <f t="shared" ref="G1:AL1" si="0">COUNTA(G3:G263)-COUNTIF(G3:G263,"IT")</f>
        <v>6</v>
      </c>
      <c r="H1" s="31">
        <f t="shared" si="0"/>
        <v>7</v>
      </c>
      <c r="I1" s="31">
        <f t="shared" si="0"/>
        <v>5</v>
      </c>
      <c r="J1" s="31">
        <f t="shared" si="0"/>
        <v>7</v>
      </c>
      <c r="K1" s="31">
        <f t="shared" si="0"/>
        <v>8</v>
      </c>
      <c r="L1" s="31">
        <f t="shared" si="0"/>
        <v>10</v>
      </c>
      <c r="M1" s="31">
        <f t="shared" si="0"/>
        <v>11</v>
      </c>
      <c r="N1" s="31">
        <f t="shared" si="0"/>
        <v>11</v>
      </c>
      <c r="O1" s="31">
        <f t="shared" si="0"/>
        <v>13</v>
      </c>
      <c r="P1" s="31">
        <f t="shared" si="0"/>
        <v>14</v>
      </c>
      <c r="Q1" s="31">
        <f t="shared" si="0"/>
        <v>13</v>
      </c>
      <c r="R1" s="31">
        <f t="shared" si="0"/>
        <v>15</v>
      </c>
      <c r="S1" s="31">
        <f t="shared" si="0"/>
        <v>19</v>
      </c>
      <c r="T1" s="31">
        <f t="shared" si="0"/>
        <v>19</v>
      </c>
      <c r="U1" s="31">
        <f t="shared" si="0"/>
        <v>20</v>
      </c>
      <c r="V1" s="31">
        <f t="shared" si="0"/>
        <v>21</v>
      </c>
      <c r="W1" s="31">
        <f t="shared" si="0"/>
        <v>22</v>
      </c>
      <c r="X1" s="31">
        <f t="shared" si="0"/>
        <v>23</v>
      </c>
      <c r="Y1" s="31">
        <f t="shared" si="0"/>
        <v>20</v>
      </c>
      <c r="Z1" s="31">
        <f t="shared" si="0"/>
        <v>21</v>
      </c>
      <c r="AA1" s="31">
        <f t="shared" si="0"/>
        <v>21</v>
      </c>
      <c r="AB1" s="31">
        <f t="shared" si="0"/>
        <v>22</v>
      </c>
      <c r="AC1" s="31">
        <f t="shared" si="0"/>
        <v>22</v>
      </c>
      <c r="AD1" s="31">
        <f t="shared" si="0"/>
        <v>20</v>
      </c>
      <c r="AE1" s="31">
        <f t="shared" si="0"/>
        <v>22</v>
      </c>
      <c r="AF1" s="31">
        <f t="shared" si="0"/>
        <v>20</v>
      </c>
      <c r="AG1" s="31">
        <f t="shared" si="0"/>
        <v>19</v>
      </c>
      <c r="AH1" s="31">
        <f t="shared" si="0"/>
        <v>20</v>
      </c>
      <c r="AI1" s="31">
        <f t="shared" si="0"/>
        <v>20</v>
      </c>
      <c r="AJ1" s="31">
        <f t="shared" si="0"/>
        <v>21</v>
      </c>
      <c r="AK1" s="31">
        <f>COUNTA(AK3:AK263)-COUNTIF(AK3:AK263,"IT")</f>
        <v>20</v>
      </c>
      <c r="AL1" s="31">
        <f t="shared" si="0"/>
        <v>24</v>
      </c>
      <c r="AM1" s="31">
        <f t="shared" ref="AM1:BO1" si="1">COUNTA(AM3:AM263)-COUNTIF(AM3:AM263,"IT")</f>
        <v>26</v>
      </c>
      <c r="AN1" s="31">
        <f t="shared" si="1"/>
        <v>25</v>
      </c>
      <c r="AO1" s="31">
        <f t="shared" si="1"/>
        <v>22</v>
      </c>
      <c r="AP1" s="31">
        <f t="shared" si="1"/>
        <v>23</v>
      </c>
      <c r="AQ1" s="31">
        <f t="shared" si="1"/>
        <v>24</v>
      </c>
      <c r="AR1" s="31">
        <f t="shared" si="1"/>
        <v>20</v>
      </c>
      <c r="AS1" s="31">
        <f t="shared" si="1"/>
        <v>25</v>
      </c>
      <c r="AT1" s="31">
        <f t="shared" si="1"/>
        <v>21</v>
      </c>
      <c r="AU1" s="31">
        <f t="shared" si="1"/>
        <v>23</v>
      </c>
      <c r="AV1" s="31">
        <f t="shared" si="1"/>
        <v>21</v>
      </c>
      <c r="AW1" s="31">
        <f t="shared" si="1"/>
        <v>23</v>
      </c>
      <c r="AX1" s="31">
        <f t="shared" si="1"/>
        <v>25</v>
      </c>
      <c r="AY1" s="31">
        <f t="shared" si="1"/>
        <v>26</v>
      </c>
      <c r="AZ1" s="31">
        <f t="shared" si="1"/>
        <v>30</v>
      </c>
      <c r="BA1" s="31">
        <f t="shared" si="1"/>
        <v>27</v>
      </c>
      <c r="BB1" s="31">
        <f t="shared" si="1"/>
        <v>29</v>
      </c>
      <c r="BC1" s="31">
        <f t="shared" si="1"/>
        <v>26</v>
      </c>
      <c r="BD1" s="31">
        <f t="shared" si="1"/>
        <v>26</v>
      </c>
      <c r="BE1" s="31">
        <f t="shared" si="1"/>
        <v>30</v>
      </c>
      <c r="BF1" s="31">
        <f t="shared" si="1"/>
        <v>27</v>
      </c>
      <c r="BG1" s="31">
        <f t="shared" si="1"/>
        <v>27</v>
      </c>
      <c r="BH1" s="31">
        <f t="shared" si="1"/>
        <v>26</v>
      </c>
      <c r="BI1" s="31">
        <f t="shared" si="1"/>
        <v>23</v>
      </c>
      <c r="BJ1" s="31">
        <f t="shared" si="1"/>
        <v>21</v>
      </c>
      <c r="BK1" s="31">
        <f t="shared" si="1"/>
        <v>22</v>
      </c>
      <c r="BL1" s="31">
        <f t="shared" si="1"/>
        <v>22</v>
      </c>
      <c r="BM1" s="31">
        <f t="shared" si="1"/>
        <v>20</v>
      </c>
      <c r="BN1" s="31">
        <f t="shared" si="1"/>
        <v>22</v>
      </c>
      <c r="BO1" s="31">
        <f t="shared" si="1"/>
        <v>18</v>
      </c>
    </row>
    <row r="2" spans="1:104" s="14" customFormat="1">
      <c r="A2" s="14" t="s">
        <v>11</v>
      </c>
      <c r="B2" s="14" t="s">
        <v>355</v>
      </c>
      <c r="C2" s="14" t="s">
        <v>2</v>
      </c>
      <c r="D2" s="14" t="s">
        <v>79</v>
      </c>
      <c r="E2" s="15" t="s">
        <v>0</v>
      </c>
      <c r="F2" s="16" t="s">
        <v>1</v>
      </c>
      <c r="G2" s="17">
        <v>42675</v>
      </c>
      <c r="H2" s="17">
        <v>42676</v>
      </c>
      <c r="I2" s="17">
        <v>42677</v>
      </c>
      <c r="J2" s="17">
        <v>42678</v>
      </c>
      <c r="K2" s="17">
        <v>42679</v>
      </c>
      <c r="L2" s="17">
        <v>42680</v>
      </c>
      <c r="M2" s="17">
        <v>42681</v>
      </c>
      <c r="N2" s="17">
        <v>42682</v>
      </c>
      <c r="O2" s="17">
        <v>42683</v>
      </c>
      <c r="P2" s="17">
        <v>42684</v>
      </c>
      <c r="Q2" s="17">
        <v>42685</v>
      </c>
      <c r="R2" s="17">
        <v>42686</v>
      </c>
      <c r="S2" s="17">
        <v>42687</v>
      </c>
      <c r="T2" s="17">
        <v>42688</v>
      </c>
      <c r="U2" s="17">
        <v>42689</v>
      </c>
      <c r="V2" s="17">
        <v>42690</v>
      </c>
      <c r="W2" s="17">
        <v>42691</v>
      </c>
      <c r="X2" s="17">
        <v>42692</v>
      </c>
      <c r="Y2" s="17">
        <v>42693</v>
      </c>
      <c r="Z2" s="17">
        <v>42694</v>
      </c>
      <c r="AA2" s="17">
        <v>42695</v>
      </c>
      <c r="AB2" s="17">
        <v>42696</v>
      </c>
      <c r="AC2" s="17">
        <v>42697</v>
      </c>
      <c r="AD2" s="17">
        <v>42698</v>
      </c>
      <c r="AE2" s="17">
        <v>42699</v>
      </c>
      <c r="AF2" s="17">
        <v>42700</v>
      </c>
      <c r="AG2" s="17">
        <v>42701</v>
      </c>
      <c r="AH2" s="17">
        <v>42702</v>
      </c>
      <c r="AI2" s="17">
        <v>42703</v>
      </c>
      <c r="AJ2" s="17">
        <v>42704</v>
      </c>
      <c r="AK2" s="17">
        <v>42705</v>
      </c>
      <c r="AL2" s="17">
        <v>42706</v>
      </c>
      <c r="AM2" s="17">
        <v>42707</v>
      </c>
      <c r="AN2" s="17">
        <v>42708</v>
      </c>
      <c r="AO2" s="17">
        <v>42709</v>
      </c>
      <c r="AP2" s="17">
        <v>42710</v>
      </c>
      <c r="AQ2" s="17">
        <v>42711</v>
      </c>
      <c r="AR2" s="17">
        <v>42712</v>
      </c>
      <c r="AS2" s="17">
        <v>42713</v>
      </c>
      <c r="AT2" s="17">
        <v>42714</v>
      </c>
      <c r="AU2" s="17">
        <v>42715</v>
      </c>
      <c r="AV2" s="17">
        <v>42716</v>
      </c>
      <c r="AW2" s="17">
        <v>42717</v>
      </c>
      <c r="AX2" s="17">
        <v>42718</v>
      </c>
      <c r="AY2" s="17">
        <v>42719</v>
      </c>
      <c r="AZ2" s="17">
        <v>42720</v>
      </c>
      <c r="BA2" s="17">
        <v>42721</v>
      </c>
      <c r="BB2" s="17">
        <v>42722</v>
      </c>
      <c r="BC2" s="17">
        <v>42723</v>
      </c>
      <c r="BD2" s="17">
        <v>42724</v>
      </c>
      <c r="BE2" s="17">
        <v>42725</v>
      </c>
      <c r="BF2" s="17">
        <v>42726</v>
      </c>
      <c r="BG2" s="17">
        <v>42727</v>
      </c>
      <c r="BH2" s="17">
        <v>42728</v>
      </c>
      <c r="BI2" s="17">
        <v>42729</v>
      </c>
      <c r="BJ2" s="17">
        <v>42730</v>
      </c>
      <c r="BK2" s="17">
        <v>42731</v>
      </c>
      <c r="BL2" s="17">
        <v>42732</v>
      </c>
      <c r="BM2" s="17">
        <v>42733</v>
      </c>
      <c r="BN2" s="17">
        <v>42734</v>
      </c>
      <c r="BO2" s="17">
        <v>42735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</row>
    <row r="3" spans="1:104" s="50" customFormat="1">
      <c r="A3" s="46"/>
      <c r="B3" s="47"/>
      <c r="C3" s="47" t="s">
        <v>203</v>
      </c>
      <c r="D3" s="47" t="s">
        <v>204</v>
      </c>
      <c r="E3" s="48" t="s">
        <v>12</v>
      </c>
      <c r="F3" s="48" t="s">
        <v>81</v>
      </c>
      <c r="G3" s="49" t="s">
        <v>205</v>
      </c>
      <c r="H3" s="49" t="s">
        <v>226</v>
      </c>
      <c r="I3" s="49" t="s">
        <v>226</v>
      </c>
      <c r="J3" s="49" t="s">
        <v>242</v>
      </c>
      <c r="K3" s="49" t="s">
        <v>247</v>
      </c>
      <c r="L3" s="49" t="s">
        <v>247</v>
      </c>
      <c r="M3" s="49" t="s">
        <v>242</v>
      </c>
      <c r="N3" s="49" t="s">
        <v>247</v>
      </c>
      <c r="O3" s="49" t="s">
        <v>295</v>
      </c>
      <c r="P3" s="49" t="s">
        <v>309</v>
      </c>
      <c r="Q3" s="49" t="s">
        <v>316</v>
      </c>
      <c r="R3" s="49" t="s">
        <v>329</v>
      </c>
      <c r="S3" s="49" t="s">
        <v>345</v>
      </c>
      <c r="T3" s="49" t="s">
        <v>309</v>
      </c>
      <c r="U3" s="49" t="s">
        <v>369</v>
      </c>
      <c r="V3" s="49" t="s">
        <v>379</v>
      </c>
      <c r="W3" s="49" t="s">
        <v>316</v>
      </c>
      <c r="X3" s="49" t="s">
        <v>316</v>
      </c>
      <c r="Y3" s="49" t="s">
        <v>410</v>
      </c>
      <c r="Z3" s="49" t="s">
        <v>410</v>
      </c>
      <c r="AA3" s="49" t="s">
        <v>316</v>
      </c>
      <c r="AB3" s="49" t="s">
        <v>309</v>
      </c>
      <c r="AC3" s="49" t="s">
        <v>410</v>
      </c>
      <c r="AD3" s="49" t="s">
        <v>410</v>
      </c>
      <c r="AE3" s="49" t="s">
        <v>316</v>
      </c>
      <c r="AF3" s="49" t="s">
        <v>316</v>
      </c>
      <c r="AG3" s="49" t="s">
        <v>316</v>
      </c>
      <c r="AH3" s="49" t="s">
        <v>316</v>
      </c>
      <c r="AI3" s="49" t="s">
        <v>410</v>
      </c>
      <c r="AJ3" s="49">
        <v>2113</v>
      </c>
      <c r="AK3" s="49" t="s">
        <v>410</v>
      </c>
      <c r="AL3" s="48" t="s">
        <v>316</v>
      </c>
      <c r="AM3" s="49" t="s">
        <v>316</v>
      </c>
      <c r="AN3" s="49" t="s">
        <v>369</v>
      </c>
      <c r="AO3" s="49" t="s">
        <v>316</v>
      </c>
      <c r="AP3" s="48"/>
      <c r="AQ3" s="51" t="s">
        <v>316</v>
      </c>
      <c r="AR3" s="51" t="s">
        <v>379</v>
      </c>
      <c r="AS3" s="51" t="s">
        <v>369</v>
      </c>
      <c r="AT3" s="48" t="s">
        <v>562</v>
      </c>
      <c r="AU3" s="49" t="s">
        <v>562</v>
      </c>
      <c r="AV3" s="48" t="s">
        <v>562</v>
      </c>
      <c r="AW3" s="48" t="s">
        <v>562</v>
      </c>
      <c r="AX3" s="48" t="s">
        <v>369</v>
      </c>
      <c r="AY3" s="49" t="s">
        <v>349</v>
      </c>
      <c r="AZ3" s="49" t="s">
        <v>212</v>
      </c>
      <c r="BA3" s="48"/>
      <c r="BB3" s="49"/>
      <c r="BC3" s="49" t="s">
        <v>256</v>
      </c>
      <c r="BD3" s="49"/>
      <c r="BE3" s="49" t="s">
        <v>256</v>
      </c>
      <c r="BF3" s="48" t="s">
        <v>256</v>
      </c>
      <c r="BG3" s="48"/>
      <c r="BH3" s="49"/>
      <c r="BI3" s="49"/>
      <c r="BJ3" s="48"/>
      <c r="BK3" s="48"/>
      <c r="BL3" s="48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</row>
    <row r="4" spans="1:104" s="8" customFormat="1">
      <c r="A4" s="12"/>
      <c r="B4" s="9"/>
      <c r="C4" s="9" t="s">
        <v>206</v>
      </c>
      <c r="D4" s="9" t="s">
        <v>207</v>
      </c>
      <c r="E4" s="7" t="s">
        <v>12</v>
      </c>
      <c r="F4" s="7" t="s">
        <v>81</v>
      </c>
      <c r="G4" s="4" t="s">
        <v>208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7"/>
      <c r="AD4" s="4"/>
      <c r="AE4" s="4"/>
      <c r="AF4" s="4"/>
      <c r="AG4" s="7"/>
      <c r="AH4" s="4"/>
      <c r="AI4" s="7"/>
      <c r="AJ4" s="4"/>
      <c r="AK4" s="7"/>
      <c r="AL4" s="7"/>
      <c r="AM4" s="4"/>
      <c r="AN4" s="4"/>
      <c r="AO4" s="7"/>
      <c r="AP4" s="7"/>
      <c r="AQ4" s="7"/>
      <c r="AR4" s="7"/>
      <c r="AS4" s="7"/>
      <c r="AT4" s="7"/>
      <c r="AU4" s="4"/>
      <c r="AV4" s="7"/>
      <c r="AW4" s="7"/>
      <c r="AX4" s="7"/>
      <c r="AY4" s="4"/>
      <c r="AZ4" s="4"/>
      <c r="BA4" s="7"/>
      <c r="BB4" s="7"/>
      <c r="BC4" s="4"/>
      <c r="BD4" s="4"/>
      <c r="BE4" s="4"/>
      <c r="BF4" s="4"/>
      <c r="BG4" s="4"/>
      <c r="BH4" s="4"/>
      <c r="BI4" s="4"/>
      <c r="BJ4" s="7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</row>
    <row r="5" spans="1:104" s="50" customFormat="1">
      <c r="A5" s="46"/>
      <c r="B5" s="47"/>
      <c r="C5" s="47" t="s">
        <v>209</v>
      </c>
      <c r="D5" s="47" t="s">
        <v>210</v>
      </c>
      <c r="E5" s="48" t="s">
        <v>12</v>
      </c>
      <c r="F5" s="48" t="s">
        <v>81</v>
      </c>
      <c r="G5" s="49" t="s">
        <v>211</v>
      </c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8"/>
      <c r="AD5" s="49"/>
      <c r="AE5" s="49"/>
      <c r="AF5" s="49"/>
      <c r="AG5" s="48"/>
      <c r="AH5" s="49"/>
      <c r="AI5" s="48"/>
      <c r="AJ5" s="49"/>
      <c r="AK5" s="48"/>
      <c r="AL5" s="48"/>
      <c r="AM5" s="49"/>
      <c r="AN5" s="49"/>
      <c r="AO5" s="48"/>
      <c r="AP5" s="48"/>
      <c r="AQ5" s="48"/>
      <c r="AR5" s="48"/>
      <c r="AS5" s="48"/>
      <c r="AT5" s="48"/>
      <c r="AU5" s="49"/>
      <c r="AV5" s="48"/>
      <c r="AW5" s="48"/>
      <c r="AX5" s="48"/>
      <c r="AY5" s="49"/>
      <c r="AZ5" s="49"/>
      <c r="BA5" s="48"/>
      <c r="BB5" s="48"/>
      <c r="BC5" s="49"/>
      <c r="BD5" s="49"/>
      <c r="BE5" s="49"/>
      <c r="BF5" s="49"/>
      <c r="BG5" s="49"/>
      <c r="BH5" s="49"/>
      <c r="BI5" s="49"/>
      <c r="BJ5" s="48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</row>
    <row r="6" spans="1:104" s="8" customFormat="1">
      <c r="A6" s="12"/>
      <c r="B6" s="9"/>
      <c r="C6" s="9" t="s">
        <v>218</v>
      </c>
      <c r="D6" s="9" t="s">
        <v>213</v>
      </c>
      <c r="E6" s="7" t="s">
        <v>12</v>
      </c>
      <c r="F6" s="7" t="s">
        <v>81</v>
      </c>
      <c r="G6" s="4" t="s">
        <v>212</v>
      </c>
      <c r="H6" s="4" t="s">
        <v>225</v>
      </c>
      <c r="I6" s="4" t="s">
        <v>235</v>
      </c>
      <c r="J6" s="4" t="s">
        <v>241</v>
      </c>
      <c r="K6" s="4" t="s">
        <v>248</v>
      </c>
      <c r="L6" s="4" t="s">
        <v>261</v>
      </c>
      <c r="M6" s="4" t="s">
        <v>277</v>
      </c>
      <c r="N6" s="4" t="s">
        <v>212</v>
      </c>
      <c r="O6" s="4" t="s">
        <v>277</v>
      </c>
      <c r="P6" s="4" t="s">
        <v>308</v>
      </c>
      <c r="Q6" s="4" t="s">
        <v>212</v>
      </c>
      <c r="R6" s="4" t="s">
        <v>330</v>
      </c>
      <c r="S6" s="4" t="s">
        <v>343</v>
      </c>
      <c r="T6" s="4" t="s">
        <v>235</v>
      </c>
      <c r="U6" s="4" t="s">
        <v>235</v>
      </c>
      <c r="V6" s="4" t="s">
        <v>277</v>
      </c>
      <c r="W6" s="4" t="s">
        <v>392</v>
      </c>
      <c r="X6" s="4" t="s">
        <v>235</v>
      </c>
      <c r="Y6" s="4" t="s">
        <v>411</v>
      </c>
      <c r="Z6" s="4" t="s">
        <v>424</v>
      </c>
      <c r="AA6" s="4" t="s">
        <v>392</v>
      </c>
      <c r="AB6" s="4" t="s">
        <v>235</v>
      </c>
      <c r="AC6" s="40" t="s">
        <v>235</v>
      </c>
      <c r="AD6" s="4" t="s">
        <v>235</v>
      </c>
      <c r="AE6" s="4" t="s">
        <v>212</v>
      </c>
      <c r="AF6" s="4" t="s">
        <v>235</v>
      </c>
      <c r="AG6" s="40" t="s">
        <v>248</v>
      </c>
      <c r="AH6" s="4" t="s">
        <v>308</v>
      </c>
      <c r="AI6" s="40" t="s">
        <v>308</v>
      </c>
      <c r="AJ6" s="4">
        <v>1611</v>
      </c>
      <c r="AK6" s="7" t="s">
        <v>424</v>
      </c>
      <c r="AL6" s="7" t="s">
        <v>277</v>
      </c>
      <c r="AM6" s="4"/>
      <c r="AN6" s="4"/>
      <c r="AO6" s="7"/>
      <c r="AP6" s="7"/>
      <c r="AQ6" s="7"/>
      <c r="AR6" s="7"/>
      <c r="AS6" s="7"/>
      <c r="AT6" s="7"/>
      <c r="AU6" s="4"/>
      <c r="AV6" s="7"/>
      <c r="AW6" s="7" t="s">
        <v>597</v>
      </c>
      <c r="AX6" s="7" t="s">
        <v>597</v>
      </c>
      <c r="AY6" s="4" t="s">
        <v>513</v>
      </c>
      <c r="AZ6" s="4" t="s">
        <v>277</v>
      </c>
      <c r="BA6" s="7" t="s">
        <v>597</v>
      </c>
      <c r="BB6" s="7" t="s">
        <v>597</v>
      </c>
      <c r="BC6" s="4" t="s">
        <v>513</v>
      </c>
      <c r="BD6" s="4" t="s">
        <v>513</v>
      </c>
      <c r="BE6" s="4" t="s">
        <v>509</v>
      </c>
      <c r="BF6" s="4" t="s">
        <v>664</v>
      </c>
      <c r="BG6" s="4" t="s">
        <v>543</v>
      </c>
      <c r="BH6" s="4" t="s">
        <v>513</v>
      </c>
      <c r="BI6" s="4" t="s">
        <v>543</v>
      </c>
      <c r="BJ6" s="7" t="s">
        <v>513</v>
      </c>
      <c r="BK6" s="4" t="s">
        <v>513</v>
      </c>
      <c r="BL6" s="7" t="s">
        <v>513</v>
      </c>
      <c r="BM6" s="4" t="s">
        <v>543</v>
      </c>
      <c r="BN6" s="4" t="s">
        <v>597</v>
      </c>
      <c r="BO6" s="7" t="s">
        <v>330</v>
      </c>
      <c r="BP6" s="4"/>
      <c r="BQ6" s="4"/>
      <c r="BR6" s="4"/>
      <c r="BS6" s="4"/>
      <c r="BT6" s="4"/>
      <c r="BU6" s="4"/>
      <c r="BV6" s="4"/>
      <c r="BW6" s="4"/>
      <c r="BX6" s="4"/>
      <c r="BY6" s="4"/>
    </row>
    <row r="7" spans="1:104" s="50" customFormat="1">
      <c r="A7" s="46"/>
      <c r="B7" s="47"/>
      <c r="C7" s="47" t="s">
        <v>219</v>
      </c>
      <c r="D7" s="47" t="s">
        <v>214</v>
      </c>
      <c r="E7" s="48" t="s">
        <v>12</v>
      </c>
      <c r="F7" s="48" t="s">
        <v>81</v>
      </c>
      <c r="G7" s="49" t="s">
        <v>215</v>
      </c>
      <c r="H7" s="49" t="s">
        <v>224</v>
      </c>
      <c r="I7" s="49"/>
      <c r="J7" s="49" t="s">
        <v>240</v>
      </c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8"/>
      <c r="AD7" s="49"/>
      <c r="AE7" s="49"/>
      <c r="AF7" s="49"/>
      <c r="AG7" s="48"/>
      <c r="AH7" s="49"/>
      <c r="AI7" s="48"/>
      <c r="AJ7" s="49"/>
      <c r="AK7" s="48"/>
      <c r="AL7" s="48"/>
      <c r="AM7" s="49"/>
      <c r="AN7" s="49"/>
      <c r="AO7" s="48"/>
      <c r="AP7" s="48"/>
      <c r="AQ7" s="48"/>
      <c r="AR7" s="48"/>
      <c r="AS7" s="48"/>
      <c r="AT7" s="48"/>
      <c r="AU7" s="49"/>
      <c r="AV7" s="48"/>
      <c r="AW7" s="48"/>
      <c r="AX7" s="48"/>
      <c r="AY7" s="49"/>
      <c r="AZ7" s="49"/>
      <c r="BA7" s="48"/>
      <c r="BB7" s="48"/>
      <c r="BC7" s="49"/>
      <c r="BD7" s="49"/>
      <c r="BE7" s="49"/>
      <c r="BF7" s="49"/>
      <c r="BG7" s="49"/>
      <c r="BH7" s="49"/>
      <c r="BI7" s="49"/>
      <c r="BJ7" s="48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</row>
    <row r="8" spans="1:104" s="8" customFormat="1">
      <c r="A8" s="12"/>
      <c r="C8" s="9"/>
      <c r="D8" s="9" t="s">
        <v>216</v>
      </c>
      <c r="E8" s="7" t="s">
        <v>12</v>
      </c>
      <c r="F8" s="7" t="s">
        <v>102</v>
      </c>
      <c r="G8" s="4" t="s">
        <v>217</v>
      </c>
      <c r="H8" s="4"/>
      <c r="I8" s="4"/>
      <c r="J8" s="4"/>
      <c r="K8" s="7"/>
      <c r="L8" s="4"/>
      <c r="M8" s="4"/>
      <c r="N8" s="4"/>
      <c r="O8" s="4"/>
      <c r="P8" s="4"/>
      <c r="Q8" s="7"/>
      <c r="R8" s="7"/>
      <c r="S8" s="7"/>
      <c r="T8" s="7"/>
      <c r="U8" s="7"/>
      <c r="V8" s="7"/>
      <c r="W8" s="4"/>
      <c r="X8" s="7"/>
      <c r="Y8" s="4"/>
      <c r="Z8" s="7"/>
      <c r="AA8" s="7"/>
      <c r="AB8" s="4"/>
      <c r="AC8" s="4"/>
      <c r="AD8" s="4"/>
      <c r="AE8" s="4"/>
      <c r="AF8" s="4"/>
      <c r="AG8" s="4"/>
      <c r="AH8" s="4"/>
      <c r="AI8" s="4"/>
      <c r="AJ8" s="4"/>
      <c r="AK8" s="4"/>
      <c r="AL8" s="7"/>
      <c r="AM8" s="4"/>
      <c r="AN8" s="4"/>
      <c r="AO8" s="7"/>
      <c r="AP8" s="7"/>
      <c r="AQ8" s="7"/>
      <c r="AR8" s="7"/>
      <c r="AS8" s="7"/>
      <c r="AT8" s="7"/>
      <c r="AU8" s="4"/>
      <c r="AV8" s="7"/>
      <c r="AW8" s="7"/>
      <c r="AX8" s="7"/>
      <c r="AY8" s="4"/>
      <c r="AZ8" s="7"/>
      <c r="BA8" s="7"/>
      <c r="BB8" s="4"/>
      <c r="BC8" s="7"/>
      <c r="BD8" s="4"/>
      <c r="BE8" s="7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</row>
    <row r="9" spans="1:104" s="50" customFormat="1">
      <c r="A9" s="46"/>
      <c r="C9" s="47" t="s">
        <v>228</v>
      </c>
      <c r="D9" s="47" t="s">
        <v>229</v>
      </c>
      <c r="E9" s="48" t="s">
        <v>12</v>
      </c>
      <c r="F9" s="48" t="s">
        <v>81</v>
      </c>
      <c r="H9" s="49" t="s">
        <v>220</v>
      </c>
      <c r="I9" s="49" t="s">
        <v>234</v>
      </c>
      <c r="J9" s="49" t="s">
        <v>243</v>
      </c>
      <c r="K9" s="48" t="s">
        <v>246</v>
      </c>
      <c r="L9" s="49" t="s">
        <v>262</v>
      </c>
      <c r="M9" s="49" t="s">
        <v>280</v>
      </c>
      <c r="N9" s="49" t="s">
        <v>290</v>
      </c>
      <c r="O9" s="49" t="s">
        <v>297</v>
      </c>
      <c r="P9" s="49" t="s">
        <v>290</v>
      </c>
      <c r="Q9" s="48"/>
      <c r="R9" s="48" t="s">
        <v>220</v>
      </c>
      <c r="S9" s="51" t="s">
        <v>347</v>
      </c>
      <c r="T9" s="48" t="s">
        <v>347</v>
      </c>
      <c r="U9" s="51" t="s">
        <v>280</v>
      </c>
      <c r="V9" s="48" t="s">
        <v>220</v>
      </c>
      <c r="W9" s="49" t="s">
        <v>280</v>
      </c>
      <c r="X9" s="51" t="s">
        <v>405</v>
      </c>
      <c r="Y9" s="49" t="s">
        <v>280</v>
      </c>
      <c r="Z9" s="51" t="s">
        <v>405</v>
      </c>
      <c r="AA9" s="51" t="s">
        <v>405</v>
      </c>
      <c r="AB9" s="49"/>
      <c r="AC9" s="49" t="s">
        <v>290</v>
      </c>
      <c r="AD9" s="49" t="s">
        <v>454</v>
      </c>
      <c r="AE9" s="49" t="s">
        <v>456</v>
      </c>
      <c r="AF9" s="49"/>
      <c r="AG9" s="49"/>
      <c r="AH9" s="49" t="s">
        <v>474</v>
      </c>
      <c r="AI9" s="49" t="s">
        <v>262</v>
      </c>
      <c r="AJ9" s="49">
        <v>2809</v>
      </c>
      <c r="AK9" s="49" t="s">
        <v>290</v>
      </c>
      <c r="AL9" s="48" t="s">
        <v>280</v>
      </c>
      <c r="AM9" s="49" t="s">
        <v>405</v>
      </c>
      <c r="AN9" s="49"/>
      <c r="AO9" s="51" t="s">
        <v>536</v>
      </c>
      <c r="AP9" s="48"/>
      <c r="AQ9" s="51" t="s">
        <v>405</v>
      </c>
      <c r="AR9" s="51" t="s">
        <v>280</v>
      </c>
      <c r="AS9" s="51" t="s">
        <v>280</v>
      </c>
      <c r="AT9" s="48"/>
      <c r="AU9" s="49" t="s">
        <v>454</v>
      </c>
      <c r="AV9" s="48" t="s">
        <v>280</v>
      </c>
      <c r="AW9" s="48" t="s">
        <v>220</v>
      </c>
      <c r="AX9" s="48" t="s">
        <v>220</v>
      </c>
      <c r="AY9" s="49" t="s">
        <v>280</v>
      </c>
      <c r="AZ9" s="48" t="s">
        <v>280</v>
      </c>
      <c r="BA9" s="48" t="s">
        <v>627</v>
      </c>
      <c r="BB9" s="49" t="s">
        <v>347</v>
      </c>
      <c r="BC9" s="48"/>
      <c r="BD9" s="49" t="s">
        <v>280</v>
      </c>
      <c r="BE9" s="48" t="s">
        <v>280</v>
      </c>
      <c r="BF9" s="49" t="s">
        <v>280</v>
      </c>
      <c r="BG9" s="49" t="s">
        <v>454</v>
      </c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</row>
    <row r="10" spans="1:104" s="8" customFormat="1">
      <c r="A10" s="12"/>
      <c r="B10" s="9" t="s">
        <v>356</v>
      </c>
      <c r="C10" s="9" t="s">
        <v>227</v>
      </c>
      <c r="D10" s="9" t="s">
        <v>230</v>
      </c>
      <c r="E10" s="7" t="s">
        <v>12</v>
      </c>
      <c r="F10" s="7" t="s">
        <v>81</v>
      </c>
      <c r="H10" s="4" t="s">
        <v>221</v>
      </c>
      <c r="I10" s="4" t="s">
        <v>233</v>
      </c>
      <c r="J10" s="4" t="s">
        <v>221</v>
      </c>
      <c r="K10" s="4"/>
      <c r="L10" s="4"/>
      <c r="M10" s="4" t="s">
        <v>278</v>
      </c>
      <c r="N10" s="4" t="s">
        <v>278</v>
      </c>
      <c r="O10" s="4" t="s">
        <v>221</v>
      </c>
      <c r="P10" s="4"/>
      <c r="Q10" s="4" t="s">
        <v>315</v>
      </c>
      <c r="R10" s="4" t="s">
        <v>331</v>
      </c>
      <c r="S10" s="4" t="s">
        <v>344</v>
      </c>
      <c r="T10" s="4" t="s">
        <v>331</v>
      </c>
      <c r="U10" s="4" t="s">
        <v>368</v>
      </c>
      <c r="V10" s="4"/>
      <c r="W10" s="4" t="s">
        <v>221</v>
      </c>
      <c r="X10" s="4" t="s">
        <v>217</v>
      </c>
      <c r="Y10" s="4" t="s">
        <v>221</v>
      </c>
      <c r="Z10" s="40" t="s">
        <v>425</v>
      </c>
      <c r="AA10" s="40" t="s">
        <v>217</v>
      </c>
      <c r="AB10" s="4" t="s">
        <v>435</v>
      </c>
      <c r="AC10" s="40" t="s">
        <v>435</v>
      </c>
      <c r="AD10" s="4" t="s">
        <v>435</v>
      </c>
      <c r="AE10" s="4" t="s">
        <v>217</v>
      </c>
      <c r="AF10" s="4" t="s">
        <v>435</v>
      </c>
      <c r="AG10" s="4"/>
      <c r="AH10" s="4" t="s">
        <v>344</v>
      </c>
      <c r="AI10" s="40" t="s">
        <v>482</v>
      </c>
      <c r="AJ10" s="4">
        <v>1809</v>
      </c>
      <c r="AK10" s="4" t="s">
        <v>344</v>
      </c>
      <c r="AL10" s="7" t="s">
        <v>482</v>
      </c>
      <c r="AM10" s="40" t="s">
        <v>508</v>
      </c>
      <c r="AN10" s="7" t="s">
        <v>278</v>
      </c>
      <c r="AO10" s="4" t="s">
        <v>532</v>
      </c>
      <c r="AP10" s="7" t="s">
        <v>532</v>
      </c>
      <c r="AQ10" s="40" t="s">
        <v>532</v>
      </c>
      <c r="AR10" s="40" t="s">
        <v>548</v>
      </c>
      <c r="AS10" s="40" t="s">
        <v>536</v>
      </c>
      <c r="AT10" s="7"/>
      <c r="AU10" s="4" t="s">
        <v>221</v>
      </c>
      <c r="AV10" s="7" t="s">
        <v>425</v>
      </c>
      <c r="AW10" s="7"/>
      <c r="AX10" s="7" t="s">
        <v>598</v>
      </c>
      <c r="AY10" s="4"/>
      <c r="AZ10" s="4"/>
      <c r="BA10" s="7" t="s">
        <v>628</v>
      </c>
      <c r="BB10" s="4" t="s">
        <v>411</v>
      </c>
      <c r="BC10" s="7" t="s">
        <v>643</v>
      </c>
      <c r="BD10" s="4" t="s">
        <v>652</v>
      </c>
      <c r="BE10" s="7" t="s">
        <v>344</v>
      </c>
      <c r="BF10" s="4" t="s">
        <v>532</v>
      </c>
      <c r="BG10" s="4" t="s">
        <v>344</v>
      </c>
      <c r="BH10" s="4" t="s">
        <v>671</v>
      </c>
      <c r="BI10" s="4" t="s">
        <v>437</v>
      </c>
      <c r="BJ10" s="4" t="s">
        <v>558</v>
      </c>
      <c r="BK10" s="4" t="s">
        <v>548</v>
      </c>
      <c r="BL10" s="7" t="s">
        <v>212</v>
      </c>
      <c r="BM10" s="4" t="s">
        <v>308</v>
      </c>
      <c r="BN10" s="4" t="s">
        <v>255</v>
      </c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</row>
    <row r="11" spans="1:104" s="50" customFormat="1">
      <c r="A11" s="46"/>
      <c r="B11" s="47"/>
      <c r="C11" s="47" t="s">
        <v>244</v>
      </c>
      <c r="D11" s="46" t="s">
        <v>271</v>
      </c>
      <c r="E11" s="48" t="s">
        <v>12</v>
      </c>
      <c r="F11" s="48" t="s">
        <v>81</v>
      </c>
      <c r="H11" s="49" t="s">
        <v>222</v>
      </c>
      <c r="I11" s="49" t="s">
        <v>232</v>
      </c>
      <c r="J11" s="49" t="s">
        <v>239</v>
      </c>
      <c r="K11" s="49" t="s">
        <v>245</v>
      </c>
      <c r="L11" s="49" t="s">
        <v>259</v>
      </c>
      <c r="M11" s="49" t="s">
        <v>273</v>
      </c>
      <c r="N11" s="49" t="s">
        <v>286</v>
      </c>
      <c r="O11" s="49"/>
      <c r="P11" s="49" t="s">
        <v>286</v>
      </c>
      <c r="Q11" s="49"/>
      <c r="R11" s="49" t="s">
        <v>332</v>
      </c>
      <c r="S11" s="49" t="s">
        <v>332</v>
      </c>
      <c r="T11" s="49" t="s">
        <v>359</v>
      </c>
      <c r="U11" s="49" t="s">
        <v>367</v>
      </c>
      <c r="V11" s="49" t="s">
        <v>380</v>
      </c>
      <c r="W11" s="49" t="s">
        <v>332</v>
      </c>
      <c r="X11" s="49" t="s">
        <v>402</v>
      </c>
      <c r="Y11" s="49" t="s">
        <v>402</v>
      </c>
      <c r="Z11" s="51" t="s">
        <v>359</v>
      </c>
      <c r="AA11" s="51" t="s">
        <v>431</v>
      </c>
      <c r="AB11" s="49" t="s">
        <v>359</v>
      </c>
      <c r="AC11" s="51" t="s">
        <v>332</v>
      </c>
      <c r="AD11" s="49" t="s">
        <v>359</v>
      </c>
      <c r="AE11" s="49" t="s">
        <v>332</v>
      </c>
      <c r="AF11" s="49" t="s">
        <v>463</v>
      </c>
      <c r="AG11" s="49" t="s">
        <v>402</v>
      </c>
      <c r="AH11" s="49" t="s">
        <v>472</v>
      </c>
      <c r="AI11" s="51" t="s">
        <v>359</v>
      </c>
      <c r="AJ11" s="49" t="s">
        <v>359</v>
      </c>
      <c r="AK11" s="49" t="s">
        <v>359</v>
      </c>
      <c r="AL11" s="48" t="s">
        <v>222</v>
      </c>
      <c r="AM11" s="51" t="s">
        <v>463</v>
      </c>
      <c r="AN11" s="48" t="s">
        <v>472</v>
      </c>
      <c r="AO11" s="49"/>
      <c r="AP11" s="48" t="s">
        <v>537</v>
      </c>
      <c r="AQ11" s="51" t="s">
        <v>259</v>
      </c>
      <c r="AR11" s="48" t="s">
        <v>552</v>
      </c>
      <c r="AS11" s="51" t="s">
        <v>537</v>
      </c>
      <c r="AT11" s="48" t="s">
        <v>563</v>
      </c>
      <c r="AU11" s="49" t="s">
        <v>359</v>
      </c>
      <c r="AV11" s="48"/>
      <c r="AW11" s="48"/>
      <c r="AX11" s="48"/>
      <c r="AY11" s="49"/>
      <c r="AZ11" s="49"/>
      <c r="BA11" s="48"/>
      <c r="BB11" s="49" t="s">
        <v>630</v>
      </c>
      <c r="BC11" s="48" t="s">
        <v>644</v>
      </c>
      <c r="BD11" s="49" t="s">
        <v>413</v>
      </c>
      <c r="BE11" s="48" t="s">
        <v>467</v>
      </c>
      <c r="BF11" s="49" t="s">
        <v>467</v>
      </c>
      <c r="BG11" s="49" t="s">
        <v>391</v>
      </c>
      <c r="BH11" s="49" t="s">
        <v>266</v>
      </c>
      <c r="BI11" s="49" t="s">
        <v>266</v>
      </c>
      <c r="BJ11" s="49" t="s">
        <v>612</v>
      </c>
      <c r="BK11" s="49" t="s">
        <v>266</v>
      </c>
      <c r="BL11" s="48" t="s">
        <v>401</v>
      </c>
      <c r="BM11" s="49" t="s">
        <v>430</v>
      </c>
      <c r="BN11" s="49" t="s">
        <v>413</v>
      </c>
      <c r="BO11" s="48" t="s">
        <v>430</v>
      </c>
      <c r="BP11" s="49"/>
      <c r="BQ11" s="49"/>
      <c r="BR11" s="49"/>
      <c r="BS11" s="49"/>
      <c r="BT11" s="49"/>
      <c r="BU11" s="49"/>
      <c r="BV11" s="49"/>
      <c r="BW11" s="49"/>
      <c r="BX11" s="49"/>
      <c r="BY11" s="49"/>
    </row>
    <row r="12" spans="1:104" s="8" customFormat="1">
      <c r="A12" s="12"/>
      <c r="B12" s="9"/>
      <c r="C12" s="9"/>
      <c r="D12" s="9" t="s">
        <v>231</v>
      </c>
      <c r="E12" s="7" t="s">
        <v>12</v>
      </c>
      <c r="F12" s="7" t="s">
        <v>102</v>
      </c>
      <c r="G12" s="4"/>
      <c r="H12" s="4" t="s">
        <v>223</v>
      </c>
      <c r="I12" s="4"/>
      <c r="J12" s="4"/>
      <c r="K12" s="4"/>
      <c r="L12" s="4"/>
      <c r="M12" s="4"/>
      <c r="N12" s="4"/>
      <c r="O12" s="4" t="s">
        <v>286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7"/>
      <c r="AA12" s="7"/>
      <c r="AB12" s="4"/>
      <c r="AC12" s="7"/>
      <c r="AD12" s="4"/>
      <c r="AE12" s="4"/>
      <c r="AF12" s="4"/>
      <c r="AG12" s="4"/>
      <c r="AH12" s="4"/>
      <c r="AI12" s="7"/>
      <c r="AJ12" s="4"/>
      <c r="AK12" s="4"/>
      <c r="AL12" s="7"/>
      <c r="AM12" s="7"/>
      <c r="AN12" s="7"/>
      <c r="AO12" s="4"/>
      <c r="AP12" s="7"/>
      <c r="AQ12" s="7"/>
      <c r="AR12" s="7"/>
      <c r="AS12" s="7"/>
      <c r="AT12" s="7"/>
      <c r="AU12" s="4"/>
      <c r="AV12" s="7"/>
      <c r="AW12" s="7"/>
      <c r="AX12" s="7"/>
      <c r="AY12" s="4"/>
      <c r="AZ12" s="4" t="s">
        <v>536</v>
      </c>
      <c r="BA12" s="7"/>
      <c r="BB12" s="4"/>
      <c r="BC12" s="7"/>
      <c r="BD12" s="4"/>
      <c r="BE12" s="7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</row>
    <row r="13" spans="1:104" s="50" customFormat="1">
      <c r="A13" s="46"/>
      <c r="B13" s="47"/>
      <c r="C13" s="46" t="s">
        <v>236</v>
      </c>
      <c r="D13" s="46" t="s">
        <v>237</v>
      </c>
      <c r="E13" s="51" t="s">
        <v>12</v>
      </c>
      <c r="F13" s="51" t="s">
        <v>81</v>
      </c>
      <c r="G13" s="49"/>
      <c r="H13" s="49"/>
      <c r="I13" s="49"/>
      <c r="J13" s="49" t="s">
        <v>238</v>
      </c>
      <c r="K13" s="49" t="s">
        <v>249</v>
      </c>
      <c r="L13" s="49" t="s">
        <v>258</v>
      </c>
      <c r="M13" s="49" t="s">
        <v>272</v>
      </c>
      <c r="N13" s="49" t="s">
        <v>285</v>
      </c>
      <c r="O13" s="49" t="s">
        <v>285</v>
      </c>
      <c r="P13" s="49" t="s">
        <v>285</v>
      </c>
      <c r="Q13" s="49" t="s">
        <v>313</v>
      </c>
      <c r="R13" s="49"/>
      <c r="S13" s="49" t="s">
        <v>259</v>
      </c>
      <c r="T13" s="49" t="s">
        <v>259</v>
      </c>
      <c r="U13" s="49" t="s">
        <v>286</v>
      </c>
      <c r="V13" s="49" t="s">
        <v>259</v>
      </c>
      <c r="W13" s="49" t="s">
        <v>286</v>
      </c>
      <c r="X13" s="49" t="s">
        <v>286</v>
      </c>
      <c r="Y13" s="49" t="s">
        <v>313</v>
      </c>
      <c r="Z13" s="51" t="s">
        <v>421</v>
      </c>
      <c r="AA13" s="51" t="s">
        <v>432</v>
      </c>
      <c r="AB13" s="49"/>
      <c r="AC13" s="48"/>
      <c r="AD13" s="49"/>
      <c r="AE13" s="49"/>
      <c r="AF13" s="49"/>
      <c r="AG13" s="49"/>
      <c r="AH13" s="49"/>
      <c r="AI13" s="48"/>
      <c r="AJ13" s="49"/>
      <c r="AK13" s="49"/>
      <c r="AL13" s="48"/>
      <c r="AM13" s="48"/>
      <c r="AN13" s="48"/>
      <c r="AO13" s="49"/>
      <c r="AP13" s="48"/>
      <c r="AQ13" s="48"/>
      <c r="AR13" s="48"/>
      <c r="AS13" s="48"/>
      <c r="AT13" s="48"/>
      <c r="AU13" s="49"/>
      <c r="AV13" s="48"/>
      <c r="AW13" s="48"/>
      <c r="AX13" s="48"/>
      <c r="AY13" s="49"/>
      <c r="AZ13" s="49"/>
      <c r="BA13" s="48"/>
      <c r="BB13" s="49"/>
      <c r="BC13" s="48"/>
      <c r="BD13" s="49"/>
      <c r="BE13" s="48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</row>
    <row r="14" spans="1:104" s="8" customFormat="1">
      <c r="A14" s="12"/>
      <c r="B14" s="9"/>
      <c r="C14" s="12" t="s">
        <v>251</v>
      </c>
      <c r="D14" s="12" t="s">
        <v>250</v>
      </c>
      <c r="E14" s="7" t="s">
        <v>12</v>
      </c>
      <c r="F14" s="7" t="s">
        <v>81</v>
      </c>
      <c r="G14" s="4"/>
      <c r="H14" s="4"/>
      <c r="I14" s="4"/>
      <c r="J14" s="4"/>
      <c r="K14" s="4" t="s">
        <v>254</v>
      </c>
      <c r="L14" s="4" t="s">
        <v>263</v>
      </c>
      <c r="M14" s="4" t="s">
        <v>263</v>
      </c>
      <c r="N14" s="4" t="s">
        <v>263</v>
      </c>
      <c r="O14" s="4" t="s">
        <v>298</v>
      </c>
      <c r="P14" s="4" t="s">
        <v>263</v>
      </c>
      <c r="Q14" s="4" t="s">
        <v>263</v>
      </c>
      <c r="R14" s="4" t="s">
        <v>333</v>
      </c>
      <c r="S14" s="4" t="s">
        <v>348</v>
      </c>
      <c r="T14" s="4" t="s">
        <v>360</v>
      </c>
      <c r="U14" s="4" t="s">
        <v>370</v>
      </c>
      <c r="V14" s="4" t="s">
        <v>381</v>
      </c>
      <c r="W14" s="4" t="s">
        <v>263</v>
      </c>
      <c r="X14" s="4" t="s">
        <v>263</v>
      </c>
      <c r="Y14" s="4" t="s">
        <v>412</v>
      </c>
      <c r="Z14" s="40" t="s">
        <v>263</v>
      </c>
      <c r="AA14" s="40" t="s">
        <v>263</v>
      </c>
      <c r="AB14" s="4" t="s">
        <v>263</v>
      </c>
      <c r="AC14" s="40" t="s">
        <v>298</v>
      </c>
      <c r="AD14" s="4" t="s">
        <v>298</v>
      </c>
      <c r="AE14" s="4" t="s">
        <v>298</v>
      </c>
      <c r="AF14" s="4" t="s">
        <v>263</v>
      </c>
      <c r="AG14" s="4" t="s">
        <v>469</v>
      </c>
      <c r="AH14" s="4" t="s">
        <v>475</v>
      </c>
      <c r="AI14" s="40" t="s">
        <v>480</v>
      </c>
      <c r="AJ14" s="4">
        <v>3311</v>
      </c>
      <c r="AK14" s="4"/>
      <c r="AL14" s="7"/>
      <c r="AM14" s="7"/>
      <c r="AN14" s="7"/>
      <c r="AO14" s="4"/>
      <c r="AP14" s="7"/>
      <c r="AQ14" s="7"/>
      <c r="AR14" s="7"/>
      <c r="AS14" s="7"/>
      <c r="AT14" s="7"/>
      <c r="AU14" s="4"/>
      <c r="AV14" s="7"/>
      <c r="AW14" s="7"/>
      <c r="AX14" s="7"/>
      <c r="AY14" s="4"/>
      <c r="AZ14" s="4"/>
      <c r="BA14" s="7"/>
      <c r="BB14" s="4"/>
      <c r="BC14" s="7"/>
      <c r="BD14" s="4"/>
      <c r="BE14" s="7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</row>
    <row r="15" spans="1:104" s="50" customFormat="1">
      <c r="A15" s="46"/>
      <c r="B15" s="47"/>
      <c r="C15" s="46" t="s">
        <v>253</v>
      </c>
      <c r="D15" s="46" t="s">
        <v>252</v>
      </c>
      <c r="E15" s="48" t="s">
        <v>12</v>
      </c>
      <c r="F15" s="48" t="s">
        <v>81</v>
      </c>
      <c r="G15" s="49"/>
      <c r="H15" s="49"/>
      <c r="I15" s="49"/>
      <c r="J15" s="49"/>
      <c r="K15" s="49" t="s">
        <v>255</v>
      </c>
      <c r="L15" s="49" t="s">
        <v>260</v>
      </c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8"/>
      <c r="AA15" s="48"/>
      <c r="AB15" s="49"/>
      <c r="AC15" s="48"/>
      <c r="AD15" s="49"/>
      <c r="AE15" s="49"/>
      <c r="AF15" s="49"/>
      <c r="AG15" s="49"/>
      <c r="AH15" s="49"/>
      <c r="AI15" s="48"/>
      <c r="AJ15" s="49"/>
      <c r="AK15" s="49"/>
      <c r="AL15" s="48"/>
      <c r="AM15" s="48"/>
      <c r="AN15" s="48"/>
      <c r="AO15" s="49"/>
      <c r="AP15" s="48"/>
      <c r="AQ15" s="48"/>
      <c r="AR15" s="48"/>
      <c r="AS15" s="48"/>
      <c r="AT15" s="48"/>
      <c r="AU15" s="49"/>
      <c r="AV15" s="48"/>
      <c r="AW15" s="48"/>
      <c r="AX15" s="48"/>
      <c r="AY15" s="49"/>
      <c r="AZ15" s="49"/>
      <c r="BA15" s="48"/>
      <c r="BB15" s="49"/>
      <c r="BC15" s="48"/>
      <c r="BD15" s="49"/>
      <c r="BE15" s="48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</row>
    <row r="16" spans="1:104" s="8" customFormat="1">
      <c r="A16" s="12"/>
      <c r="C16" s="12" t="s">
        <v>267</v>
      </c>
      <c r="D16" s="8" t="s">
        <v>257</v>
      </c>
      <c r="E16" s="7" t="s">
        <v>12</v>
      </c>
      <c r="F16" s="40" t="s">
        <v>81</v>
      </c>
      <c r="G16" s="4"/>
      <c r="H16" s="4"/>
      <c r="I16" s="4"/>
      <c r="J16" s="7"/>
      <c r="K16" s="4" t="s">
        <v>256</v>
      </c>
      <c r="L16" s="4" t="s">
        <v>256</v>
      </c>
      <c r="M16" s="4" t="s">
        <v>275</v>
      </c>
      <c r="N16" s="32" t="s">
        <v>287</v>
      </c>
      <c r="O16" s="4" t="s">
        <v>293</v>
      </c>
      <c r="P16" s="7" t="s">
        <v>307</v>
      </c>
      <c r="Q16" s="40" t="s">
        <v>314</v>
      </c>
      <c r="R16" s="7" t="s">
        <v>287</v>
      </c>
      <c r="S16" s="4" t="s">
        <v>342</v>
      </c>
      <c r="T16" s="4" t="s">
        <v>307</v>
      </c>
      <c r="U16" s="40" t="s">
        <v>307</v>
      </c>
      <c r="V16" s="4" t="s">
        <v>382</v>
      </c>
      <c r="W16" s="40" t="s">
        <v>314</v>
      </c>
      <c r="X16" s="40" t="s">
        <v>403</v>
      </c>
      <c r="Y16" s="7" t="s">
        <v>342</v>
      </c>
      <c r="Z16" s="40" t="s">
        <v>423</v>
      </c>
      <c r="AA16" s="40" t="s">
        <v>342</v>
      </c>
      <c r="AB16" s="4" t="s">
        <v>275</v>
      </c>
      <c r="AC16" s="4" t="s">
        <v>342</v>
      </c>
      <c r="AD16" s="4" t="s">
        <v>342</v>
      </c>
      <c r="AE16" s="7" t="s">
        <v>224</v>
      </c>
      <c r="AF16" s="4" t="s">
        <v>465</v>
      </c>
      <c r="AG16" s="4" t="s">
        <v>314</v>
      </c>
      <c r="AH16" s="40" t="s">
        <v>314</v>
      </c>
      <c r="AI16" s="40" t="s">
        <v>342</v>
      </c>
      <c r="AJ16" s="4">
        <v>1108</v>
      </c>
      <c r="AK16" s="4" t="s">
        <v>382</v>
      </c>
      <c r="AL16" s="7" t="s">
        <v>256</v>
      </c>
      <c r="AM16" s="40" t="s">
        <v>342</v>
      </c>
      <c r="AN16" s="7" t="s">
        <v>342</v>
      </c>
      <c r="AO16" s="4"/>
      <c r="AP16" s="7" t="s">
        <v>256</v>
      </c>
      <c r="AQ16" s="4" t="s">
        <v>256</v>
      </c>
      <c r="AR16" s="4"/>
      <c r="AS16" s="4" t="s">
        <v>465</v>
      </c>
      <c r="AT16" s="7" t="s">
        <v>564</v>
      </c>
      <c r="AU16" s="4" t="s">
        <v>564</v>
      </c>
      <c r="AV16" s="7" t="s">
        <v>431</v>
      </c>
      <c r="AW16" s="4" t="s">
        <v>584</v>
      </c>
      <c r="AX16" s="4" t="s">
        <v>259</v>
      </c>
      <c r="AY16" s="4" t="s">
        <v>472</v>
      </c>
      <c r="AZ16" s="4" t="s">
        <v>472</v>
      </c>
      <c r="BA16" s="4" t="s">
        <v>629</v>
      </c>
      <c r="BB16" s="4" t="s">
        <v>629</v>
      </c>
      <c r="BC16" s="4" t="s">
        <v>463</v>
      </c>
      <c r="BD16" s="4" t="s">
        <v>463</v>
      </c>
      <c r="BE16" s="7" t="s">
        <v>629</v>
      </c>
      <c r="BF16" s="4" t="s">
        <v>463</v>
      </c>
      <c r="BG16" s="4" t="s">
        <v>472</v>
      </c>
      <c r="BH16" s="4" t="s">
        <v>629</v>
      </c>
      <c r="BI16" s="4" t="s">
        <v>497</v>
      </c>
      <c r="BJ16" s="4" t="s">
        <v>629</v>
      </c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</row>
    <row r="17" spans="1:77" s="50" customFormat="1">
      <c r="A17" s="46"/>
      <c r="C17" s="46" t="s">
        <v>268</v>
      </c>
      <c r="D17" s="46" t="s">
        <v>265</v>
      </c>
      <c r="E17" s="48" t="s">
        <v>12</v>
      </c>
      <c r="F17" s="51" t="s">
        <v>81</v>
      </c>
      <c r="G17" s="49"/>
      <c r="H17" s="49"/>
      <c r="I17" s="49"/>
      <c r="J17" s="48"/>
      <c r="K17" s="49"/>
      <c r="L17" s="49" t="s">
        <v>264</v>
      </c>
      <c r="M17" s="49"/>
      <c r="N17" s="52"/>
      <c r="O17" s="49"/>
      <c r="P17" s="48"/>
      <c r="Q17" s="48"/>
      <c r="R17" s="48"/>
      <c r="S17" s="49"/>
      <c r="T17" s="49"/>
      <c r="U17" s="48"/>
      <c r="V17" s="49"/>
      <c r="W17" s="48"/>
      <c r="X17" s="48"/>
      <c r="Y17" s="48"/>
      <c r="Z17" s="48"/>
      <c r="AA17" s="48"/>
      <c r="AB17" s="49"/>
      <c r="AC17" s="49"/>
      <c r="AD17" s="49"/>
      <c r="AE17" s="48"/>
      <c r="AF17" s="49"/>
      <c r="AG17" s="49"/>
      <c r="AH17" s="48"/>
      <c r="AI17" s="48"/>
      <c r="AJ17" s="49"/>
      <c r="AK17" s="49"/>
      <c r="AL17" s="48"/>
      <c r="AM17" s="48"/>
      <c r="AN17" s="48"/>
      <c r="AO17" s="49"/>
      <c r="AP17" s="48"/>
      <c r="AQ17" s="49"/>
      <c r="AR17" s="49"/>
      <c r="AS17" s="49"/>
      <c r="AT17" s="48"/>
      <c r="AU17" s="49"/>
      <c r="AV17" s="48"/>
      <c r="AW17" s="49"/>
      <c r="AX17" s="49"/>
      <c r="AY17" s="49"/>
      <c r="AZ17" s="49"/>
      <c r="BA17" s="49"/>
      <c r="BB17" s="49"/>
      <c r="BC17" s="49"/>
      <c r="BD17" s="49"/>
      <c r="BE17" s="48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</row>
    <row r="18" spans="1:77" s="8" customFormat="1">
      <c r="A18" s="12"/>
      <c r="C18" s="12" t="s">
        <v>269</v>
      </c>
      <c r="D18" s="12" t="s">
        <v>270</v>
      </c>
      <c r="E18" s="7" t="s">
        <v>12</v>
      </c>
      <c r="F18" s="40" t="s">
        <v>81</v>
      </c>
      <c r="G18" s="4"/>
      <c r="H18" s="4"/>
      <c r="I18" s="4"/>
      <c r="J18" s="4"/>
      <c r="K18" s="4"/>
      <c r="L18" s="4" t="s">
        <v>266</v>
      </c>
      <c r="M18" s="4" t="s">
        <v>274</v>
      </c>
      <c r="N18" s="4" t="s">
        <v>284</v>
      </c>
      <c r="O18" s="4" t="s">
        <v>274</v>
      </c>
      <c r="P18" s="4" t="s">
        <v>310</v>
      </c>
      <c r="Q18" s="4"/>
      <c r="R18" s="4" t="s">
        <v>284</v>
      </c>
      <c r="S18" s="4" t="s">
        <v>340</v>
      </c>
      <c r="T18" s="4" t="s">
        <v>361</v>
      </c>
      <c r="U18" s="4" t="s">
        <v>208</v>
      </c>
      <c r="V18" s="4" t="s">
        <v>361</v>
      </c>
      <c r="W18" s="4" t="s">
        <v>391</v>
      </c>
      <c r="X18" s="4" t="s">
        <v>401</v>
      </c>
      <c r="Y18" s="4" t="s">
        <v>413</v>
      </c>
      <c r="Z18" s="4" t="s">
        <v>391</v>
      </c>
      <c r="AA18" s="4" t="s">
        <v>430</v>
      </c>
      <c r="AB18" s="4" t="s">
        <v>284</v>
      </c>
      <c r="AC18" s="4" t="s">
        <v>401</v>
      </c>
      <c r="AD18" s="4" t="s">
        <v>391</v>
      </c>
      <c r="AE18" s="4" t="s">
        <v>430</v>
      </c>
      <c r="AF18" s="4" t="s">
        <v>460</v>
      </c>
      <c r="AG18" s="4" t="s">
        <v>467</v>
      </c>
      <c r="AH18" s="4" t="s">
        <v>284</v>
      </c>
      <c r="AI18" s="4" t="s">
        <v>401</v>
      </c>
      <c r="AJ18" s="4" t="s">
        <v>401</v>
      </c>
      <c r="AK18" s="4" t="s">
        <v>361</v>
      </c>
      <c r="AL18" s="4" t="s">
        <v>401</v>
      </c>
      <c r="AM18" s="4" t="s">
        <v>391</v>
      </c>
      <c r="AN18" s="4" t="s">
        <v>391</v>
      </c>
      <c r="AO18" s="4" t="s">
        <v>527</v>
      </c>
      <c r="AP18" s="7" t="s">
        <v>361</v>
      </c>
      <c r="AQ18" s="40" t="s">
        <v>401</v>
      </c>
      <c r="AR18" s="7" t="s">
        <v>551</v>
      </c>
      <c r="AS18" s="40" t="s">
        <v>401</v>
      </c>
      <c r="AT18" s="7" t="s">
        <v>430</v>
      </c>
      <c r="AU18" s="4" t="s">
        <v>361</v>
      </c>
      <c r="AV18" s="7" t="s">
        <v>573</v>
      </c>
      <c r="AW18" s="7" t="s">
        <v>467</v>
      </c>
      <c r="AX18" s="4" t="s">
        <v>430</v>
      </c>
      <c r="AY18" s="4" t="s">
        <v>430</v>
      </c>
      <c r="AZ18" s="4" t="s">
        <v>612</v>
      </c>
      <c r="BA18" s="7" t="s">
        <v>430</v>
      </c>
      <c r="BB18" s="4" t="s">
        <v>208</v>
      </c>
      <c r="BC18" s="4" t="s">
        <v>274</v>
      </c>
      <c r="BD18" s="4" t="s">
        <v>649</v>
      </c>
      <c r="BE18" s="7" t="s">
        <v>658</v>
      </c>
      <c r="BF18" s="7" t="s">
        <v>665</v>
      </c>
      <c r="BG18" s="7" t="s">
        <v>668</v>
      </c>
      <c r="BH18" s="4" t="s">
        <v>466</v>
      </c>
      <c r="BI18" s="4" t="s">
        <v>466</v>
      </c>
      <c r="BJ18" s="7"/>
      <c r="BK18" s="4" t="s">
        <v>686</v>
      </c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</row>
    <row r="19" spans="1:77" s="50" customFormat="1">
      <c r="A19" s="46"/>
      <c r="B19" s="47"/>
      <c r="C19" s="46" t="s">
        <v>281</v>
      </c>
      <c r="D19" s="50" t="s">
        <v>283</v>
      </c>
      <c r="E19" s="48" t="s">
        <v>12</v>
      </c>
      <c r="F19" s="51" t="s">
        <v>81</v>
      </c>
      <c r="G19" s="49"/>
      <c r="H19" s="49"/>
      <c r="I19" s="49"/>
      <c r="J19" s="49"/>
      <c r="K19" s="49"/>
      <c r="L19" s="49"/>
      <c r="M19" s="49" t="s">
        <v>276</v>
      </c>
      <c r="N19" s="49" t="s">
        <v>288</v>
      </c>
      <c r="O19" s="49" t="s">
        <v>294</v>
      </c>
      <c r="P19" s="49" t="s">
        <v>288</v>
      </c>
      <c r="Q19" s="49" t="s">
        <v>288</v>
      </c>
      <c r="R19" s="49"/>
      <c r="S19" s="49" t="s">
        <v>276</v>
      </c>
      <c r="T19" s="49" t="s">
        <v>362</v>
      </c>
      <c r="U19" s="49" t="s">
        <v>276</v>
      </c>
      <c r="V19" s="49" t="s">
        <v>288</v>
      </c>
      <c r="W19" s="49" t="s">
        <v>288</v>
      </c>
      <c r="X19" s="49" t="s">
        <v>288</v>
      </c>
      <c r="Y19" s="49" t="s">
        <v>288</v>
      </c>
      <c r="Z19" s="49" t="s">
        <v>276</v>
      </c>
      <c r="AA19" s="49" t="s">
        <v>294</v>
      </c>
      <c r="AB19" s="49" t="s">
        <v>276</v>
      </c>
      <c r="AC19" s="49" t="s">
        <v>362</v>
      </c>
      <c r="AD19" s="49" t="s">
        <v>276</v>
      </c>
      <c r="AE19" s="49" t="s">
        <v>276</v>
      </c>
      <c r="AF19" s="49" t="s">
        <v>464</v>
      </c>
      <c r="AG19" s="49" t="s">
        <v>276</v>
      </c>
      <c r="AH19" s="49" t="s">
        <v>288</v>
      </c>
      <c r="AI19" s="49" t="s">
        <v>288</v>
      </c>
      <c r="AJ19" s="49">
        <v>1216</v>
      </c>
      <c r="AK19" s="49" t="s">
        <v>362</v>
      </c>
      <c r="AL19" s="48" t="s">
        <v>493</v>
      </c>
      <c r="AM19" s="51" t="s">
        <v>464</v>
      </c>
      <c r="AN19" s="49" t="s">
        <v>464</v>
      </c>
      <c r="AO19" s="51" t="s">
        <v>464</v>
      </c>
      <c r="AP19" s="48" t="s">
        <v>538</v>
      </c>
      <c r="AQ19" s="51" t="s">
        <v>464</v>
      </c>
      <c r="AR19" s="48" t="s">
        <v>288</v>
      </c>
      <c r="AS19" s="51" t="s">
        <v>538</v>
      </c>
      <c r="AT19" s="52" t="s">
        <v>288</v>
      </c>
      <c r="AU19" s="49" t="s">
        <v>570</v>
      </c>
      <c r="AV19" s="49" t="s">
        <v>574</v>
      </c>
      <c r="AW19" s="49" t="s">
        <v>276</v>
      </c>
      <c r="AX19" s="48" t="s">
        <v>538</v>
      </c>
      <c r="AY19" s="49" t="s">
        <v>602</v>
      </c>
      <c r="AZ19" s="49" t="s">
        <v>538</v>
      </c>
      <c r="BA19" s="49" t="s">
        <v>602</v>
      </c>
      <c r="BB19" s="49" t="s">
        <v>633</v>
      </c>
      <c r="BC19" s="48" t="s">
        <v>602</v>
      </c>
      <c r="BD19" s="48" t="s">
        <v>538</v>
      </c>
      <c r="BE19" s="48" t="s">
        <v>574</v>
      </c>
      <c r="BF19" s="49" t="s">
        <v>570</v>
      </c>
      <c r="BG19" s="49" t="s">
        <v>362</v>
      </c>
      <c r="BH19" s="49" t="s">
        <v>276</v>
      </c>
      <c r="BI19" s="49" t="s">
        <v>602</v>
      </c>
      <c r="BJ19" s="49"/>
      <c r="BK19" s="49" t="s">
        <v>276</v>
      </c>
      <c r="BL19" s="48" t="s">
        <v>362</v>
      </c>
      <c r="BM19" s="49" t="s">
        <v>276</v>
      </c>
      <c r="BN19" s="49" t="s">
        <v>276</v>
      </c>
      <c r="BO19" s="48" t="s">
        <v>276</v>
      </c>
      <c r="BP19" s="49"/>
      <c r="BQ19" s="49"/>
      <c r="BR19" s="49"/>
      <c r="BS19" s="49"/>
      <c r="BT19" s="49"/>
      <c r="BU19" s="49"/>
      <c r="BV19" s="49"/>
      <c r="BW19" s="49"/>
      <c r="BX19" s="49"/>
      <c r="BY19" s="49"/>
    </row>
    <row r="20" spans="1:77" s="8" customFormat="1">
      <c r="A20" s="12" t="s">
        <v>292</v>
      </c>
      <c r="C20" s="12" t="s">
        <v>282</v>
      </c>
      <c r="D20" s="8" t="s">
        <v>436</v>
      </c>
      <c r="E20" s="7" t="s">
        <v>291</v>
      </c>
      <c r="F20" s="40" t="s">
        <v>81</v>
      </c>
      <c r="G20" s="4"/>
      <c r="H20" s="4"/>
      <c r="I20" s="4"/>
      <c r="J20" s="4"/>
      <c r="K20" s="4"/>
      <c r="L20" s="4"/>
      <c r="M20" s="4" t="s">
        <v>279</v>
      </c>
      <c r="N20" s="4" t="s">
        <v>289</v>
      </c>
      <c r="O20" s="4" t="s">
        <v>289</v>
      </c>
      <c r="P20" s="4" t="s">
        <v>311</v>
      </c>
      <c r="Q20" s="4" t="s">
        <v>321</v>
      </c>
      <c r="R20" s="4" t="s">
        <v>289</v>
      </c>
      <c r="S20" s="4" t="s">
        <v>289</v>
      </c>
      <c r="T20" s="4" t="s">
        <v>279</v>
      </c>
      <c r="U20" s="4" t="s">
        <v>371</v>
      </c>
      <c r="V20" s="4" t="s">
        <v>383</v>
      </c>
      <c r="W20" s="4"/>
      <c r="X20" s="4" t="s">
        <v>311</v>
      </c>
      <c r="Y20" s="4"/>
      <c r="Z20" s="4" t="s">
        <v>383</v>
      </c>
      <c r="AA20" s="4" t="s">
        <v>311</v>
      </c>
      <c r="AB20" s="4" t="s">
        <v>311</v>
      </c>
      <c r="AC20" s="4" t="s">
        <v>289</v>
      </c>
      <c r="AD20" s="4"/>
      <c r="AE20" s="4" t="s">
        <v>226</v>
      </c>
      <c r="AF20" s="4"/>
      <c r="AG20" s="4" t="s">
        <v>468</v>
      </c>
      <c r="AH20" s="4"/>
      <c r="AI20" s="4" t="s">
        <v>226</v>
      </c>
      <c r="AJ20" s="4">
        <v>1911</v>
      </c>
      <c r="AK20" s="7" t="s">
        <v>488</v>
      </c>
      <c r="AL20" s="7" t="s">
        <v>494</v>
      </c>
      <c r="AM20" s="40" t="s">
        <v>513</v>
      </c>
      <c r="AN20" s="7" t="s">
        <v>311</v>
      </c>
      <c r="AO20" s="40" t="s">
        <v>533</v>
      </c>
      <c r="AP20" s="7" t="s">
        <v>371</v>
      </c>
      <c r="AQ20" s="40" t="s">
        <v>533</v>
      </c>
      <c r="AR20" s="40" t="s">
        <v>533</v>
      </c>
      <c r="AS20" s="40" t="s">
        <v>311</v>
      </c>
      <c r="AT20" s="7" t="s">
        <v>565</v>
      </c>
      <c r="AU20" s="4" t="s">
        <v>279</v>
      </c>
      <c r="AV20" s="7" t="s">
        <v>575</v>
      </c>
      <c r="AW20" s="4" t="s">
        <v>538</v>
      </c>
      <c r="AX20" s="7" t="s">
        <v>565</v>
      </c>
      <c r="AY20" s="4" t="s">
        <v>311</v>
      </c>
      <c r="AZ20" s="4" t="s">
        <v>565</v>
      </c>
      <c r="BA20" s="7" t="s">
        <v>383</v>
      </c>
      <c r="BB20" s="4" t="s">
        <v>311</v>
      </c>
      <c r="BC20" s="7" t="s">
        <v>371</v>
      </c>
      <c r="BD20" s="4" t="s">
        <v>533</v>
      </c>
      <c r="BE20" s="7" t="s">
        <v>279</v>
      </c>
      <c r="BF20" s="7" t="s">
        <v>289</v>
      </c>
      <c r="BG20" s="7" t="s">
        <v>311</v>
      </c>
      <c r="BH20" s="7" t="s">
        <v>311</v>
      </c>
      <c r="BI20" s="4" t="s">
        <v>674</v>
      </c>
      <c r="BJ20" s="4" t="s">
        <v>279</v>
      </c>
      <c r="BK20" s="4" t="s">
        <v>383</v>
      </c>
      <c r="BL20" s="7" t="s">
        <v>416</v>
      </c>
      <c r="BM20" s="4" t="s">
        <v>416</v>
      </c>
      <c r="BN20" s="4" t="s">
        <v>279</v>
      </c>
      <c r="BO20" s="7" t="s">
        <v>371</v>
      </c>
      <c r="BP20" s="4"/>
      <c r="BQ20" s="4"/>
      <c r="BR20" s="4"/>
      <c r="BS20" s="4"/>
      <c r="BT20" s="4"/>
      <c r="BU20" s="4"/>
      <c r="BV20" s="4"/>
      <c r="BW20" s="4"/>
      <c r="BX20" s="4"/>
      <c r="BY20" s="4"/>
    </row>
    <row r="21" spans="1:77" s="50" customFormat="1">
      <c r="A21" s="46"/>
      <c r="B21" s="47"/>
      <c r="C21" s="46" t="s">
        <v>300</v>
      </c>
      <c r="D21" s="46" t="s">
        <v>301</v>
      </c>
      <c r="E21" s="48" t="s">
        <v>12</v>
      </c>
      <c r="F21" s="51" t="s">
        <v>81</v>
      </c>
      <c r="G21" s="49"/>
      <c r="H21" s="49"/>
      <c r="I21" s="49"/>
      <c r="J21" s="49"/>
      <c r="K21" s="49"/>
      <c r="L21" s="49"/>
      <c r="M21" s="49"/>
      <c r="N21" s="49"/>
      <c r="O21" s="49" t="s">
        <v>264</v>
      </c>
      <c r="P21" s="49" t="s">
        <v>264</v>
      </c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9"/>
      <c r="AV21" s="48"/>
      <c r="AW21" s="49"/>
      <c r="AX21" s="48"/>
      <c r="AY21" s="49"/>
      <c r="AZ21" s="49"/>
      <c r="BA21" s="48"/>
      <c r="BB21" s="49"/>
      <c r="BC21" s="48"/>
      <c r="BD21" s="49"/>
      <c r="BE21" s="48"/>
      <c r="BF21" s="48"/>
      <c r="BG21" s="48"/>
      <c r="BH21" s="48"/>
      <c r="BI21" s="49"/>
      <c r="BJ21" s="49"/>
      <c r="BK21" s="49"/>
      <c r="BL21" s="49"/>
      <c r="BM21" s="49"/>
      <c r="BN21" s="49"/>
      <c r="BO21" s="49"/>
      <c r="BP21" s="49"/>
      <c r="BQ21" s="49"/>
      <c r="BR21" s="49"/>
      <c r="BS21" s="49"/>
      <c r="BT21" s="49"/>
      <c r="BU21" s="49"/>
      <c r="BV21" s="49"/>
      <c r="BW21" s="49"/>
      <c r="BX21" s="49"/>
      <c r="BY21" s="49"/>
    </row>
    <row r="22" spans="1:77" s="8" customFormat="1">
      <c r="A22" s="12" t="s">
        <v>299</v>
      </c>
      <c r="B22" s="12"/>
      <c r="C22" s="12" t="s">
        <v>302</v>
      </c>
      <c r="D22" s="8" t="s">
        <v>327</v>
      </c>
      <c r="E22" s="7" t="s">
        <v>12</v>
      </c>
      <c r="F22" s="4" t="s">
        <v>81</v>
      </c>
      <c r="G22" s="4"/>
      <c r="H22" s="4"/>
      <c r="I22" s="4"/>
      <c r="J22" s="4"/>
      <c r="K22" s="4"/>
      <c r="L22" s="4"/>
      <c r="M22" s="4"/>
      <c r="N22" s="4"/>
      <c r="O22" s="4" t="s">
        <v>296</v>
      </c>
      <c r="P22" s="4" t="s">
        <v>306</v>
      </c>
      <c r="Q22" s="4" t="s">
        <v>317</v>
      </c>
      <c r="R22" s="4" t="s">
        <v>334</v>
      </c>
      <c r="S22" s="4" t="s">
        <v>334</v>
      </c>
      <c r="T22" s="4" t="s">
        <v>306</v>
      </c>
      <c r="U22" s="4" t="s">
        <v>334</v>
      </c>
      <c r="V22" s="4" t="s">
        <v>306</v>
      </c>
      <c r="W22" s="4" t="s">
        <v>334</v>
      </c>
      <c r="X22" s="4" t="s">
        <v>334</v>
      </c>
      <c r="Y22" s="4" t="s">
        <v>334</v>
      </c>
      <c r="Z22" s="4" t="s">
        <v>334</v>
      </c>
      <c r="AA22" s="4" t="s">
        <v>334</v>
      </c>
      <c r="AB22" s="4" t="s">
        <v>437</v>
      </c>
      <c r="AC22" s="4" t="s">
        <v>447</v>
      </c>
      <c r="AD22" s="4" t="s">
        <v>334</v>
      </c>
      <c r="AE22" s="4" t="s">
        <v>457</v>
      </c>
      <c r="AF22" s="4" t="s">
        <v>317</v>
      </c>
      <c r="AG22" s="4" t="s">
        <v>334</v>
      </c>
      <c r="AH22" s="4" t="s">
        <v>473</v>
      </c>
      <c r="AI22" s="4" t="s">
        <v>345</v>
      </c>
      <c r="AJ22" s="4">
        <v>2210</v>
      </c>
      <c r="AK22" s="4" t="s">
        <v>334</v>
      </c>
      <c r="AL22" s="7" t="s">
        <v>457</v>
      </c>
      <c r="AM22" s="4" t="s">
        <v>507</v>
      </c>
      <c r="AN22" s="4" t="s">
        <v>519</v>
      </c>
      <c r="AO22" s="40" t="s">
        <v>344</v>
      </c>
      <c r="AP22" s="7" t="s">
        <v>539</v>
      </c>
      <c r="AQ22" s="4" t="s">
        <v>345</v>
      </c>
      <c r="AR22" s="4" t="s">
        <v>539</v>
      </c>
      <c r="AS22" s="40" t="s">
        <v>488</v>
      </c>
      <c r="AT22" s="7" t="s">
        <v>457</v>
      </c>
      <c r="AU22" s="4" t="s">
        <v>571</v>
      </c>
      <c r="AV22" s="4" t="s">
        <v>457</v>
      </c>
      <c r="AW22" s="4" t="s">
        <v>331</v>
      </c>
      <c r="AX22" s="7" t="s">
        <v>599</v>
      </c>
      <c r="AY22" s="4" t="s">
        <v>344</v>
      </c>
      <c r="AZ22" s="4" t="s">
        <v>447</v>
      </c>
      <c r="BA22" s="4" t="s">
        <v>331</v>
      </c>
      <c r="BB22" s="4"/>
      <c r="BC22" s="7"/>
      <c r="BD22" s="4" t="s">
        <v>457</v>
      </c>
      <c r="BE22" s="7" t="s">
        <v>659</v>
      </c>
      <c r="BF22" s="4" t="s">
        <v>536</v>
      </c>
      <c r="BG22" s="4" t="s">
        <v>306</v>
      </c>
      <c r="BH22" s="4" t="s">
        <v>306</v>
      </c>
      <c r="BI22" s="4" t="s">
        <v>675</v>
      </c>
      <c r="BJ22" s="4"/>
      <c r="BK22" s="7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  <row r="23" spans="1:77" s="50" customFormat="1">
      <c r="A23" s="46" t="s">
        <v>303</v>
      </c>
      <c r="C23" s="46" t="s">
        <v>304</v>
      </c>
      <c r="D23" s="50" t="s">
        <v>611</v>
      </c>
      <c r="E23" s="49" t="s">
        <v>12</v>
      </c>
      <c r="F23" s="48" t="s">
        <v>81</v>
      </c>
      <c r="G23" s="49"/>
      <c r="H23" s="49"/>
      <c r="I23" s="49"/>
      <c r="J23" s="49"/>
      <c r="K23" s="49"/>
      <c r="L23" s="49"/>
      <c r="M23" s="49"/>
      <c r="N23" s="49"/>
      <c r="O23" s="49"/>
      <c r="P23" s="49" t="s">
        <v>305</v>
      </c>
      <c r="Q23" s="49" t="s">
        <v>318</v>
      </c>
      <c r="R23" s="49" t="s">
        <v>335</v>
      </c>
      <c r="S23" s="49" t="s">
        <v>346</v>
      </c>
      <c r="T23" s="49" t="s">
        <v>242</v>
      </c>
      <c r="U23" s="51" t="s">
        <v>346</v>
      </c>
      <c r="V23" s="49" t="s">
        <v>384</v>
      </c>
      <c r="W23" s="51" t="s">
        <v>346</v>
      </c>
      <c r="X23" s="51" t="s">
        <v>404</v>
      </c>
      <c r="Y23" s="49" t="s">
        <v>414</v>
      </c>
      <c r="Z23" s="51" t="s">
        <v>346</v>
      </c>
      <c r="AA23" s="51" t="s">
        <v>346</v>
      </c>
      <c r="AB23" s="48" t="s">
        <v>242</v>
      </c>
      <c r="AC23" s="49" t="s">
        <v>234</v>
      </c>
      <c r="AD23" s="49" t="s">
        <v>453</v>
      </c>
      <c r="AE23" s="49" t="s">
        <v>346</v>
      </c>
      <c r="AF23" s="49" t="s">
        <v>335</v>
      </c>
      <c r="AG23" s="49" t="s">
        <v>335</v>
      </c>
      <c r="AH23" s="51" t="s">
        <v>346</v>
      </c>
      <c r="AI23" s="49"/>
      <c r="AJ23" s="49"/>
      <c r="AK23" s="49" t="s">
        <v>346</v>
      </c>
      <c r="AL23" s="49" t="s">
        <v>414</v>
      </c>
      <c r="AM23" s="49" t="s">
        <v>346</v>
      </c>
      <c r="AN23" s="48" t="s">
        <v>335</v>
      </c>
      <c r="AO23" s="51" t="s">
        <v>534</v>
      </c>
      <c r="AP23" s="48" t="s">
        <v>384</v>
      </c>
      <c r="AQ23" s="51" t="s">
        <v>335</v>
      </c>
      <c r="AR23" s="51" t="s">
        <v>556</v>
      </c>
      <c r="AS23" s="51" t="s">
        <v>414</v>
      </c>
      <c r="AT23" s="48" t="s">
        <v>556</v>
      </c>
      <c r="AU23" s="49" t="s">
        <v>414</v>
      </c>
      <c r="AV23" s="48" t="s">
        <v>576</v>
      </c>
      <c r="AW23" s="48" t="s">
        <v>346</v>
      </c>
      <c r="AX23" s="48" t="s">
        <v>346</v>
      </c>
      <c r="AY23" s="49" t="s">
        <v>335</v>
      </c>
      <c r="AZ23" s="49" t="s">
        <v>613</v>
      </c>
      <c r="BA23" s="49" t="s">
        <v>414</v>
      </c>
      <c r="BB23" s="49" t="s">
        <v>634</v>
      </c>
      <c r="BC23" s="49" t="s">
        <v>384</v>
      </c>
      <c r="BD23" s="49" t="s">
        <v>329</v>
      </c>
      <c r="BE23" s="49" t="s">
        <v>507</v>
      </c>
      <c r="BF23" s="49" t="s">
        <v>309</v>
      </c>
      <c r="BG23" s="49"/>
      <c r="BH23" s="49" t="s">
        <v>672</v>
      </c>
      <c r="BI23" s="49" t="s">
        <v>410</v>
      </c>
      <c r="BJ23" s="49" t="s">
        <v>562</v>
      </c>
      <c r="BK23" s="49" t="s">
        <v>316</v>
      </c>
      <c r="BL23" s="49"/>
      <c r="BM23" s="49"/>
      <c r="BN23" s="49"/>
      <c r="BO23" s="49"/>
      <c r="BP23" s="49"/>
      <c r="BQ23" s="49"/>
      <c r="BR23" s="49"/>
      <c r="BS23" s="49"/>
      <c r="BT23" s="49"/>
      <c r="BU23" s="49"/>
      <c r="BV23" s="49"/>
      <c r="BW23" s="49"/>
      <c r="BX23" s="49"/>
      <c r="BY23" s="49"/>
    </row>
    <row r="24" spans="1:77" s="8" customFormat="1">
      <c r="A24" s="12"/>
      <c r="B24" s="41" t="s">
        <v>357</v>
      </c>
      <c r="C24" s="8" t="s">
        <v>622</v>
      </c>
      <c r="D24" s="8" t="s">
        <v>623</v>
      </c>
      <c r="E24" s="4" t="s">
        <v>13</v>
      </c>
      <c r="F24" s="7" t="s">
        <v>81</v>
      </c>
      <c r="G24" s="4"/>
      <c r="H24" s="4"/>
      <c r="I24" s="4"/>
      <c r="J24" s="4"/>
      <c r="K24" s="4"/>
      <c r="L24" s="4"/>
      <c r="M24" s="4"/>
      <c r="N24" s="4"/>
      <c r="O24" s="4"/>
      <c r="P24" s="4" t="s">
        <v>242</v>
      </c>
      <c r="Q24" s="4" t="s">
        <v>319</v>
      </c>
      <c r="R24" s="4" t="s">
        <v>319</v>
      </c>
      <c r="S24" s="4" t="s">
        <v>350</v>
      </c>
      <c r="T24" s="4" t="s">
        <v>363</v>
      </c>
      <c r="U24" s="40" t="s">
        <v>336</v>
      </c>
      <c r="V24" s="4" t="s">
        <v>363</v>
      </c>
      <c r="W24" s="7"/>
      <c r="X24" s="7"/>
      <c r="Y24" s="4"/>
      <c r="Z24" s="7"/>
      <c r="AA24" s="7"/>
      <c r="AB24" s="7"/>
      <c r="AC24" s="4"/>
      <c r="AD24" s="4"/>
      <c r="AE24" s="4"/>
      <c r="AF24" s="4"/>
      <c r="AG24" s="4"/>
      <c r="AH24" s="7"/>
      <c r="AI24" s="4"/>
      <c r="AJ24" s="4"/>
      <c r="AK24" s="4"/>
      <c r="AL24" s="4"/>
      <c r="AM24" s="4"/>
      <c r="AN24" s="7"/>
      <c r="AO24" s="7"/>
      <c r="AP24" s="7"/>
      <c r="AQ24" s="7"/>
      <c r="AR24" s="7"/>
      <c r="AS24" s="7"/>
      <c r="AT24" s="7"/>
      <c r="AU24" s="4"/>
      <c r="AV24" s="7"/>
      <c r="AW24" s="7"/>
      <c r="AX24" s="7"/>
      <c r="AY24" s="4"/>
      <c r="AZ24" s="7" t="s">
        <v>558</v>
      </c>
      <c r="BA24" s="4" t="s">
        <v>261</v>
      </c>
      <c r="BB24" s="4" t="s">
        <v>635</v>
      </c>
      <c r="BC24" s="4" t="s">
        <v>558</v>
      </c>
      <c r="BD24" s="4" t="s">
        <v>650</v>
      </c>
      <c r="BE24" s="4" t="s">
        <v>508</v>
      </c>
      <c r="BF24" s="4" t="s">
        <v>531</v>
      </c>
      <c r="BG24" s="4" t="s">
        <v>240</v>
      </c>
      <c r="BH24" s="4" t="s">
        <v>240</v>
      </c>
      <c r="BI24" s="4"/>
      <c r="BJ24" s="4" t="s">
        <v>650</v>
      </c>
      <c r="BK24" s="4" t="s">
        <v>536</v>
      </c>
      <c r="BL24" s="7" t="s">
        <v>531</v>
      </c>
      <c r="BM24" s="4"/>
      <c r="BN24" s="4" t="s">
        <v>425</v>
      </c>
      <c r="BO24" s="7" t="s">
        <v>702</v>
      </c>
      <c r="BP24" s="4"/>
      <c r="BQ24" s="4"/>
      <c r="BR24" s="4"/>
      <c r="BS24" s="4"/>
      <c r="BT24" s="4"/>
      <c r="BU24" s="4"/>
      <c r="BV24" s="4"/>
      <c r="BW24" s="4"/>
      <c r="BX24" s="4"/>
      <c r="BY24" s="4"/>
    </row>
    <row r="25" spans="1:77" s="50" customFormat="1">
      <c r="A25" s="46"/>
      <c r="B25" s="46"/>
      <c r="C25" s="46" t="s">
        <v>323</v>
      </c>
      <c r="D25" s="46" t="s">
        <v>326</v>
      </c>
      <c r="E25" s="49" t="s">
        <v>12</v>
      </c>
      <c r="F25" s="48" t="s">
        <v>81</v>
      </c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 t="s">
        <v>312</v>
      </c>
      <c r="R25" s="49"/>
      <c r="S25" s="49" t="s">
        <v>354</v>
      </c>
      <c r="T25" s="49" t="s">
        <v>364</v>
      </c>
      <c r="U25" s="49" t="s">
        <v>366</v>
      </c>
      <c r="V25" s="49" t="s">
        <v>385</v>
      </c>
      <c r="W25" s="49" t="s">
        <v>395</v>
      </c>
      <c r="X25" s="49" t="s">
        <v>406</v>
      </c>
      <c r="Y25" s="49" t="s">
        <v>415</v>
      </c>
      <c r="Z25" s="51" t="s">
        <v>427</v>
      </c>
      <c r="AA25" s="51" t="s">
        <v>433</v>
      </c>
      <c r="AB25" s="48" t="s">
        <v>438</v>
      </c>
      <c r="AC25" s="51" t="s">
        <v>448</v>
      </c>
      <c r="AD25" s="49"/>
      <c r="AE25" s="49" t="s">
        <v>458</v>
      </c>
      <c r="AF25" s="49" t="s">
        <v>466</v>
      </c>
      <c r="AG25" s="49" t="s">
        <v>470</v>
      </c>
      <c r="AH25" s="49"/>
      <c r="AI25" s="48"/>
      <c r="AJ25" s="49"/>
      <c r="AK25" s="49"/>
      <c r="AL25" s="48"/>
      <c r="AM25" s="49"/>
      <c r="AN25" s="49"/>
      <c r="AO25" s="48"/>
      <c r="AP25" s="49"/>
      <c r="AQ25" s="48"/>
      <c r="AR25" s="48"/>
      <c r="AS25" s="49"/>
      <c r="AT25" s="49"/>
      <c r="AU25" s="49"/>
      <c r="AV25" s="48"/>
      <c r="AW25" s="48"/>
      <c r="AX25" s="48"/>
      <c r="AY25" s="49"/>
      <c r="AZ25" s="48" t="s">
        <v>536</v>
      </c>
      <c r="BA25" s="48"/>
      <c r="BC25" s="49"/>
      <c r="BD25" s="48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</row>
    <row r="26" spans="1:77" s="8" customFormat="1">
      <c r="A26" s="12" t="s">
        <v>324</v>
      </c>
      <c r="B26" s="12"/>
      <c r="C26" s="12" t="s">
        <v>322</v>
      </c>
      <c r="D26" s="12" t="s">
        <v>325</v>
      </c>
      <c r="E26" s="40" t="s">
        <v>14</v>
      </c>
      <c r="F26" s="40" t="s">
        <v>81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 t="s">
        <v>320</v>
      </c>
      <c r="R26" s="4" t="s">
        <v>336</v>
      </c>
      <c r="S26" s="4" t="s">
        <v>349</v>
      </c>
      <c r="T26" s="4" t="s">
        <v>365</v>
      </c>
      <c r="U26" s="4" t="s">
        <v>372</v>
      </c>
      <c r="V26" s="4" t="s">
        <v>372</v>
      </c>
      <c r="W26" s="4" t="s">
        <v>372</v>
      </c>
      <c r="X26" s="4" t="s">
        <v>349</v>
      </c>
      <c r="Y26" s="4" t="s">
        <v>416</v>
      </c>
      <c r="Z26" s="4" t="s">
        <v>372</v>
      </c>
      <c r="AA26" s="4" t="s">
        <v>372</v>
      </c>
      <c r="AB26" s="4" t="s">
        <v>349</v>
      </c>
      <c r="AC26" s="4" t="s">
        <v>372</v>
      </c>
      <c r="AD26" s="4" t="s">
        <v>455</v>
      </c>
      <c r="AE26" s="4" t="s">
        <v>372</v>
      </c>
      <c r="AF26" s="4" t="s">
        <v>372</v>
      </c>
      <c r="AG26" s="4" t="s">
        <v>349</v>
      </c>
      <c r="AH26" s="4" t="s">
        <v>416</v>
      </c>
      <c r="AI26" s="4" t="s">
        <v>349</v>
      </c>
      <c r="AJ26" s="4">
        <v>2216</v>
      </c>
      <c r="AK26" s="4" t="s">
        <v>455</v>
      </c>
      <c r="AL26" s="7" t="s">
        <v>372</v>
      </c>
      <c r="AM26" s="4" t="s">
        <v>372</v>
      </c>
      <c r="AN26" s="4" t="s">
        <v>372</v>
      </c>
      <c r="AO26" s="4" t="s">
        <v>455</v>
      </c>
      <c r="AP26" s="7" t="s">
        <v>455</v>
      </c>
      <c r="AQ26" s="4" t="s">
        <v>547</v>
      </c>
      <c r="AR26" s="7"/>
      <c r="AS26" s="4" t="s">
        <v>455</v>
      </c>
      <c r="AT26" s="7" t="s">
        <v>393</v>
      </c>
      <c r="AU26" s="4" t="s">
        <v>393</v>
      </c>
      <c r="AV26" s="4" t="s">
        <v>393</v>
      </c>
      <c r="AW26" s="7" t="s">
        <v>393</v>
      </c>
      <c r="AX26" s="4" t="s">
        <v>393</v>
      </c>
      <c r="AY26" s="4" t="s">
        <v>372</v>
      </c>
      <c r="AZ26" s="4" t="s">
        <v>614</v>
      </c>
      <c r="BA26" s="7" t="s">
        <v>350</v>
      </c>
      <c r="BB26" s="4" t="s">
        <v>372</v>
      </c>
      <c r="BC26" s="4" t="s">
        <v>547</v>
      </c>
      <c r="BD26" s="4" t="s">
        <v>660</v>
      </c>
      <c r="BE26" s="4" t="s">
        <v>372</v>
      </c>
      <c r="BF26" s="7" t="s">
        <v>365</v>
      </c>
      <c r="BG26" s="7" t="s">
        <v>393</v>
      </c>
      <c r="BH26" s="4" t="s">
        <v>372</v>
      </c>
      <c r="BI26" s="4"/>
      <c r="BJ26" s="7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</row>
    <row r="27" spans="1:77" s="50" customFormat="1">
      <c r="A27" s="46"/>
      <c r="C27" s="46" t="s">
        <v>352</v>
      </c>
      <c r="D27" s="50" t="s">
        <v>339</v>
      </c>
      <c r="E27" s="48" t="s">
        <v>12</v>
      </c>
      <c r="F27" s="51" t="s">
        <v>81</v>
      </c>
      <c r="G27" s="49"/>
      <c r="H27" s="49"/>
      <c r="I27" s="49"/>
      <c r="J27" s="49"/>
      <c r="K27" s="49"/>
      <c r="L27" s="49"/>
      <c r="M27" s="49"/>
      <c r="N27" s="49"/>
      <c r="O27" s="49"/>
      <c r="P27" s="49"/>
      <c r="Q27" s="49"/>
      <c r="R27" s="49" t="s">
        <v>264</v>
      </c>
      <c r="S27" s="49" t="s">
        <v>264</v>
      </c>
      <c r="T27" s="49" t="s">
        <v>264</v>
      </c>
      <c r="U27" s="49"/>
      <c r="V27" s="49" t="s">
        <v>264</v>
      </c>
      <c r="W27" s="49" t="s">
        <v>264</v>
      </c>
      <c r="X27" s="49" t="s">
        <v>264</v>
      </c>
      <c r="Y27" s="49"/>
      <c r="Z27" s="49"/>
      <c r="AA27" s="49"/>
      <c r="AB27" s="49" t="s">
        <v>264</v>
      </c>
      <c r="AC27" s="49"/>
      <c r="AD27" s="49"/>
      <c r="AE27" s="49" t="s">
        <v>264</v>
      </c>
      <c r="AF27" s="49"/>
      <c r="AG27" s="49"/>
      <c r="AH27" s="49"/>
      <c r="AI27" s="49"/>
      <c r="AJ27" s="49"/>
      <c r="AK27" s="49"/>
      <c r="AL27" s="49" t="s">
        <v>264</v>
      </c>
      <c r="AM27" s="49" t="s">
        <v>264</v>
      </c>
      <c r="AN27" s="49" t="s">
        <v>264</v>
      </c>
      <c r="AO27" s="51" t="s">
        <v>264</v>
      </c>
      <c r="AP27" s="48" t="s">
        <v>264</v>
      </c>
      <c r="AQ27" s="51" t="s">
        <v>264</v>
      </c>
      <c r="AR27" s="48"/>
      <c r="AS27" s="51" t="s">
        <v>264</v>
      </c>
      <c r="AT27" s="48" t="s">
        <v>264</v>
      </c>
      <c r="AU27" s="49" t="s">
        <v>264</v>
      </c>
      <c r="AV27" s="48" t="s">
        <v>264</v>
      </c>
      <c r="AW27" s="48" t="s">
        <v>264</v>
      </c>
      <c r="AX27" s="48" t="s">
        <v>264</v>
      </c>
      <c r="AY27" s="49" t="s">
        <v>603</v>
      </c>
      <c r="AZ27" s="49" t="s">
        <v>264</v>
      </c>
      <c r="BA27" s="48" t="s">
        <v>264</v>
      </c>
      <c r="BB27" s="49" t="s">
        <v>264</v>
      </c>
      <c r="BC27" s="49" t="s">
        <v>264</v>
      </c>
      <c r="BD27" s="48" t="s">
        <v>264</v>
      </c>
      <c r="BE27" s="48" t="s">
        <v>264</v>
      </c>
      <c r="BF27" s="49" t="s">
        <v>264</v>
      </c>
      <c r="BG27" s="49" t="s">
        <v>264</v>
      </c>
      <c r="BH27" s="49" t="s">
        <v>264</v>
      </c>
      <c r="BI27" s="49" t="s">
        <v>676</v>
      </c>
      <c r="BJ27" s="49" t="s">
        <v>264</v>
      </c>
      <c r="BK27" s="49" t="s">
        <v>211</v>
      </c>
      <c r="BL27" s="48" t="s">
        <v>264</v>
      </c>
      <c r="BM27" s="49" t="s">
        <v>264</v>
      </c>
      <c r="BN27" s="49" t="s">
        <v>264</v>
      </c>
      <c r="BO27" s="48" t="s">
        <v>703</v>
      </c>
      <c r="BP27" s="49"/>
      <c r="BQ27" s="49"/>
      <c r="BR27" s="49"/>
      <c r="BS27" s="49"/>
      <c r="BT27" s="49"/>
      <c r="BU27" s="49"/>
      <c r="BV27" s="49"/>
      <c r="BW27" s="49"/>
      <c r="BX27" s="49"/>
      <c r="BY27" s="49"/>
    </row>
    <row r="28" spans="1:77" s="8" customFormat="1">
      <c r="A28" s="12"/>
      <c r="B28" s="8" t="s">
        <v>358</v>
      </c>
      <c r="C28" s="9" t="s">
        <v>328</v>
      </c>
      <c r="D28" s="9" t="s">
        <v>338</v>
      </c>
      <c r="E28" s="7" t="s">
        <v>12</v>
      </c>
      <c r="F28" s="7" t="s">
        <v>81</v>
      </c>
      <c r="G28" s="7"/>
      <c r="H28" s="7"/>
      <c r="I28" s="4"/>
      <c r="J28" s="4"/>
      <c r="K28" s="4"/>
      <c r="L28" s="4"/>
      <c r="M28" s="4"/>
      <c r="N28" s="4"/>
      <c r="O28" s="4"/>
      <c r="P28" s="4"/>
      <c r="Q28" s="4"/>
      <c r="R28" s="7" t="s">
        <v>337</v>
      </c>
      <c r="S28" s="40" t="s">
        <v>341</v>
      </c>
      <c r="T28" s="7" t="s">
        <v>337</v>
      </c>
      <c r="U28" s="40" t="s">
        <v>341</v>
      </c>
      <c r="V28" s="4" t="s">
        <v>386</v>
      </c>
      <c r="W28" s="40" t="s">
        <v>386</v>
      </c>
      <c r="X28" s="40" t="s">
        <v>386</v>
      </c>
      <c r="Y28" s="4" t="s">
        <v>337</v>
      </c>
      <c r="Z28" s="4" t="s">
        <v>422</v>
      </c>
      <c r="AA28" s="4" t="s">
        <v>422</v>
      </c>
      <c r="AB28" s="4" t="s">
        <v>386</v>
      </c>
      <c r="AC28" s="4" t="s">
        <v>386</v>
      </c>
      <c r="AD28" s="4" t="s">
        <v>422</v>
      </c>
      <c r="AE28" s="4" t="s">
        <v>337</v>
      </c>
      <c r="AF28" s="4" t="s">
        <v>422</v>
      </c>
      <c r="AG28" s="4" t="s">
        <v>422</v>
      </c>
      <c r="AH28" s="4" t="s">
        <v>471</v>
      </c>
      <c r="AI28" s="4" t="s">
        <v>422</v>
      </c>
      <c r="AJ28" s="4" t="s">
        <v>422</v>
      </c>
      <c r="AK28" s="4" t="s">
        <v>337</v>
      </c>
      <c r="AL28" s="7" t="s">
        <v>495</v>
      </c>
      <c r="AM28" s="4" t="s">
        <v>337</v>
      </c>
      <c r="AN28" s="4" t="s">
        <v>386</v>
      </c>
      <c r="AO28" s="40" t="s">
        <v>528</v>
      </c>
      <c r="AP28" s="7" t="s">
        <v>422</v>
      </c>
      <c r="AQ28" s="4" t="s">
        <v>422</v>
      </c>
      <c r="AR28" s="7" t="s">
        <v>341</v>
      </c>
      <c r="AS28" s="4" t="s">
        <v>386</v>
      </c>
      <c r="AT28" s="4" t="s">
        <v>337</v>
      </c>
      <c r="AU28" s="4" t="s">
        <v>337</v>
      </c>
      <c r="AV28" s="4" t="s">
        <v>337</v>
      </c>
      <c r="AW28" s="4"/>
      <c r="AX28" s="4"/>
      <c r="AY28" s="4"/>
      <c r="AZ28" s="4"/>
      <c r="BA28" s="4" t="s">
        <v>630</v>
      </c>
      <c r="BB28" s="4"/>
      <c r="BC28" s="4"/>
      <c r="BD28" s="4"/>
      <c r="BE28" s="7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</row>
    <row r="29" spans="1:77" s="50" customFormat="1">
      <c r="A29" s="46"/>
      <c r="B29" s="47"/>
      <c r="C29" s="46" t="s">
        <v>351</v>
      </c>
      <c r="D29" s="46" t="s">
        <v>353</v>
      </c>
      <c r="E29" s="48" t="s">
        <v>12</v>
      </c>
      <c r="F29" s="48" t="s">
        <v>81</v>
      </c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 t="s">
        <v>232</v>
      </c>
      <c r="T29" s="49" t="s">
        <v>232</v>
      </c>
      <c r="U29" s="51" t="s">
        <v>272</v>
      </c>
      <c r="V29" s="49" t="s">
        <v>238</v>
      </c>
      <c r="W29" s="51" t="s">
        <v>272</v>
      </c>
      <c r="X29" s="51" t="s">
        <v>272</v>
      </c>
      <c r="Y29" s="49" t="s">
        <v>417</v>
      </c>
      <c r="Z29" s="51" t="s">
        <v>285</v>
      </c>
      <c r="AA29" s="51" t="s">
        <v>258</v>
      </c>
      <c r="AB29" s="48" t="s">
        <v>439</v>
      </c>
      <c r="AC29" s="49" t="s">
        <v>272</v>
      </c>
      <c r="AD29" s="51" t="s">
        <v>258</v>
      </c>
      <c r="AE29" s="49" t="s">
        <v>249</v>
      </c>
      <c r="AF29" s="49" t="s">
        <v>258</v>
      </c>
      <c r="AG29" s="51" t="s">
        <v>439</v>
      </c>
      <c r="AH29" s="49" t="s">
        <v>439</v>
      </c>
      <c r="AI29" s="51" t="s">
        <v>258</v>
      </c>
      <c r="AJ29" s="49" t="s">
        <v>258</v>
      </c>
      <c r="AK29" s="48" t="s">
        <v>272</v>
      </c>
      <c r="AL29" s="48" t="s">
        <v>496</v>
      </c>
      <c r="AM29" s="51" t="s">
        <v>249</v>
      </c>
      <c r="AN29" s="48" t="s">
        <v>249</v>
      </c>
      <c r="AO29" s="51" t="s">
        <v>239</v>
      </c>
      <c r="AP29" s="48" t="s">
        <v>238</v>
      </c>
      <c r="AQ29" s="51" t="s">
        <v>239</v>
      </c>
      <c r="AR29" s="48" t="s">
        <v>439</v>
      </c>
      <c r="AS29" s="51" t="s">
        <v>496</v>
      </c>
      <c r="AT29" s="48" t="s">
        <v>566</v>
      </c>
      <c r="AU29" s="49" t="s">
        <v>418</v>
      </c>
      <c r="AV29" s="48" t="s">
        <v>577</v>
      </c>
      <c r="AW29" s="48" t="s">
        <v>232</v>
      </c>
      <c r="AX29" s="48" t="s">
        <v>566</v>
      </c>
      <c r="AY29" s="48" t="s">
        <v>418</v>
      </c>
      <c r="AZ29" s="48" t="s">
        <v>232</v>
      </c>
      <c r="BA29" s="48" t="s">
        <v>631</v>
      </c>
      <c r="BB29" s="49" t="s">
        <v>232</v>
      </c>
      <c r="BC29" s="49" t="s">
        <v>418</v>
      </c>
      <c r="BD29" s="49" t="s">
        <v>239</v>
      </c>
      <c r="BE29" s="49" t="s">
        <v>239</v>
      </c>
      <c r="BF29" s="48" t="s">
        <v>418</v>
      </c>
      <c r="BG29" s="49" t="s">
        <v>232</v>
      </c>
      <c r="BH29" s="49" t="s">
        <v>418</v>
      </c>
      <c r="BI29" s="49" t="s">
        <v>232</v>
      </c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</row>
    <row r="30" spans="1:77" s="8" customFormat="1">
      <c r="A30" s="12" t="s">
        <v>376</v>
      </c>
      <c r="B30" s="33"/>
      <c r="C30" s="12" t="s">
        <v>374</v>
      </c>
      <c r="D30" s="12" t="s">
        <v>373</v>
      </c>
      <c r="E30" s="7" t="s">
        <v>12</v>
      </c>
      <c r="F30" s="7" t="s">
        <v>81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 t="s">
        <v>264</v>
      </c>
      <c r="V30" s="4" t="s">
        <v>387</v>
      </c>
      <c r="W30" s="4" t="s">
        <v>394</v>
      </c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7"/>
      <c r="AR30" s="7"/>
      <c r="AS30" s="40" t="s">
        <v>561</v>
      </c>
      <c r="AT30" s="7" t="s">
        <v>385</v>
      </c>
      <c r="AU30" s="4" t="s">
        <v>385</v>
      </c>
      <c r="AV30" s="7" t="s">
        <v>578</v>
      </c>
      <c r="AW30" s="7" t="s">
        <v>585</v>
      </c>
      <c r="AX30" s="7" t="s">
        <v>600</v>
      </c>
      <c r="AY30" s="4" t="s">
        <v>585</v>
      </c>
      <c r="AZ30" s="4" t="s">
        <v>528</v>
      </c>
      <c r="BA30" s="7" t="s">
        <v>483</v>
      </c>
      <c r="BB30" s="4" t="s">
        <v>337</v>
      </c>
      <c r="BC30" s="4" t="s">
        <v>528</v>
      </c>
      <c r="BD30" s="4" t="s">
        <v>483</v>
      </c>
      <c r="BE30" s="7" t="s">
        <v>585</v>
      </c>
      <c r="BF30" s="7" t="s">
        <v>528</v>
      </c>
      <c r="BG30" s="7" t="s">
        <v>422</v>
      </c>
      <c r="BH30" s="7" t="s">
        <v>585</v>
      </c>
      <c r="BI30" s="4" t="s">
        <v>528</v>
      </c>
      <c r="BJ30" s="7" t="s">
        <v>337</v>
      </c>
      <c r="BK30" s="4" t="s">
        <v>337</v>
      </c>
      <c r="BL30" s="7" t="s">
        <v>528</v>
      </c>
      <c r="BM30" s="4" t="s">
        <v>463</v>
      </c>
      <c r="BN30" s="4" t="s">
        <v>367</v>
      </c>
      <c r="BO30" s="7" t="s">
        <v>367</v>
      </c>
      <c r="BP30" s="4"/>
      <c r="BQ30" s="4"/>
      <c r="BR30" s="4"/>
      <c r="BS30" s="4"/>
      <c r="BT30" s="4"/>
      <c r="BU30" s="4"/>
      <c r="BV30" s="4"/>
      <c r="BW30" s="4"/>
      <c r="BX30" s="4"/>
      <c r="BY30" s="4"/>
    </row>
    <row r="31" spans="1:77" s="50" customFormat="1">
      <c r="A31" s="46" t="s">
        <v>378</v>
      </c>
      <c r="B31" s="47"/>
      <c r="C31" s="46" t="s">
        <v>375</v>
      </c>
      <c r="D31" s="46" t="s">
        <v>377</v>
      </c>
      <c r="E31" s="48" t="s">
        <v>12</v>
      </c>
      <c r="F31" s="48" t="s">
        <v>81</v>
      </c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 t="s">
        <v>232</v>
      </c>
      <c r="V31" s="49" t="s">
        <v>239</v>
      </c>
      <c r="W31" s="49" t="s">
        <v>232</v>
      </c>
      <c r="X31" s="49" t="s">
        <v>245</v>
      </c>
      <c r="Y31" s="49" t="s">
        <v>418</v>
      </c>
      <c r="Z31" s="49" t="s">
        <v>232</v>
      </c>
      <c r="AA31" s="49" t="s">
        <v>232</v>
      </c>
      <c r="AB31" s="49" t="s">
        <v>418</v>
      </c>
      <c r="AC31" s="49" t="s">
        <v>232</v>
      </c>
      <c r="AD31" s="49" t="s">
        <v>232</v>
      </c>
      <c r="AE31" s="49" t="s">
        <v>232</v>
      </c>
      <c r="AF31" s="49" t="s">
        <v>232</v>
      </c>
      <c r="AG31" s="49" t="s">
        <v>232</v>
      </c>
      <c r="AH31" s="49" t="s">
        <v>232</v>
      </c>
      <c r="AI31" s="51" t="s">
        <v>232</v>
      </c>
      <c r="AJ31" s="49" t="s">
        <v>232</v>
      </c>
      <c r="AK31" s="49" t="s">
        <v>232</v>
      </c>
      <c r="AL31" s="48" t="s">
        <v>497</v>
      </c>
      <c r="AM31" s="51" t="s">
        <v>232</v>
      </c>
      <c r="AN31" s="48" t="s">
        <v>232</v>
      </c>
      <c r="AO31" s="49" t="s">
        <v>232</v>
      </c>
      <c r="AP31" s="48" t="s">
        <v>232</v>
      </c>
      <c r="AQ31" s="49" t="s">
        <v>232</v>
      </c>
      <c r="AR31" s="48" t="s">
        <v>232</v>
      </c>
      <c r="AS31" s="51" t="s">
        <v>497</v>
      </c>
      <c r="AT31" s="48"/>
      <c r="AU31" s="49" t="s">
        <v>313</v>
      </c>
      <c r="AV31" s="48"/>
      <c r="AW31" s="49"/>
      <c r="AX31" s="49"/>
      <c r="AY31" s="49"/>
      <c r="AZ31" s="49"/>
      <c r="BA31" s="48"/>
      <c r="BB31" s="49"/>
      <c r="BC31" s="49"/>
      <c r="BD31" s="48"/>
      <c r="BE31" s="49"/>
      <c r="BF31" s="48"/>
      <c r="BG31" s="49"/>
      <c r="BH31" s="49"/>
      <c r="BI31" s="49"/>
      <c r="BJ31" s="48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</row>
    <row r="32" spans="1:77" s="8" customFormat="1">
      <c r="A32" s="12"/>
      <c r="B32" s="9"/>
      <c r="C32" s="12" t="s">
        <v>388</v>
      </c>
      <c r="D32" s="12" t="s">
        <v>389</v>
      </c>
      <c r="E32" s="7" t="s">
        <v>12</v>
      </c>
      <c r="F32" s="7" t="s">
        <v>81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 t="s">
        <v>390</v>
      </c>
      <c r="W32" s="4" t="s">
        <v>390</v>
      </c>
      <c r="X32" s="4" t="s">
        <v>390</v>
      </c>
      <c r="Y32" s="4" t="s">
        <v>390</v>
      </c>
      <c r="Z32" s="40" t="s">
        <v>390</v>
      </c>
      <c r="AA32" s="40" t="s">
        <v>367</v>
      </c>
      <c r="AB32" s="4" t="s">
        <v>390</v>
      </c>
      <c r="AC32" s="4" t="s">
        <v>390</v>
      </c>
      <c r="AD32" s="4" t="s">
        <v>390</v>
      </c>
      <c r="AE32" s="4" t="s">
        <v>390</v>
      </c>
      <c r="AF32" s="4" t="s">
        <v>390</v>
      </c>
      <c r="AG32" s="4" t="s">
        <v>390</v>
      </c>
      <c r="AH32" s="4" t="s">
        <v>390</v>
      </c>
      <c r="AI32" s="4" t="s">
        <v>483</v>
      </c>
      <c r="AJ32" s="4" t="s">
        <v>483</v>
      </c>
      <c r="AK32" s="4" t="s">
        <v>390</v>
      </c>
      <c r="AL32" s="4" t="s">
        <v>390</v>
      </c>
      <c r="AM32" s="40" t="s">
        <v>367</v>
      </c>
      <c r="AN32" s="7" t="s">
        <v>390</v>
      </c>
      <c r="AO32" s="40" t="s">
        <v>390</v>
      </c>
      <c r="AP32" s="7" t="s">
        <v>390</v>
      </c>
      <c r="AQ32" s="4" t="s">
        <v>390</v>
      </c>
      <c r="AR32" s="4"/>
      <c r="AS32" s="40" t="s">
        <v>367</v>
      </c>
      <c r="AT32" s="7" t="s">
        <v>367</v>
      </c>
      <c r="AU32" s="4" t="s">
        <v>367</v>
      </c>
      <c r="AV32" s="7" t="s">
        <v>483</v>
      </c>
      <c r="AW32" s="7" t="s">
        <v>367</v>
      </c>
      <c r="AX32" s="7" t="s">
        <v>367</v>
      </c>
      <c r="AY32" s="4" t="s">
        <v>390</v>
      </c>
      <c r="AZ32" s="4" t="s">
        <v>390</v>
      </c>
      <c r="BA32" s="4"/>
      <c r="BB32" s="4" t="s">
        <v>390</v>
      </c>
      <c r="BC32" s="4"/>
      <c r="BD32" s="4"/>
      <c r="BE32" s="4"/>
      <c r="BF32" s="7"/>
      <c r="BG32" s="7"/>
      <c r="BH32" s="4"/>
      <c r="BI32" s="4"/>
      <c r="BJ32" s="7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</row>
    <row r="33" spans="1:77" s="50" customFormat="1">
      <c r="A33" s="46"/>
      <c r="B33" s="47"/>
      <c r="C33" s="46" t="s">
        <v>396</v>
      </c>
      <c r="D33" s="50" t="s">
        <v>399</v>
      </c>
      <c r="E33" s="48" t="s">
        <v>12</v>
      </c>
      <c r="F33" s="51" t="s">
        <v>81</v>
      </c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 t="s">
        <v>393</v>
      </c>
      <c r="X33" s="49" t="s">
        <v>350</v>
      </c>
      <c r="Y33" s="49" t="s">
        <v>419</v>
      </c>
      <c r="Z33" s="49" t="s">
        <v>426</v>
      </c>
      <c r="AA33" s="49" t="s">
        <v>426</v>
      </c>
      <c r="AB33" s="49" t="s">
        <v>440</v>
      </c>
      <c r="AC33" s="49" t="s">
        <v>426</v>
      </c>
      <c r="AD33" s="49" t="s">
        <v>426</v>
      </c>
      <c r="AE33" s="49" t="s">
        <v>459</v>
      </c>
      <c r="AF33" s="49" t="s">
        <v>440</v>
      </c>
      <c r="AG33" s="49" t="s">
        <v>440</v>
      </c>
      <c r="AH33" s="49" t="s">
        <v>476</v>
      </c>
      <c r="AI33" s="49" t="s">
        <v>346</v>
      </c>
      <c r="AJ33" s="49" t="s">
        <v>346</v>
      </c>
      <c r="AK33" s="49" t="s">
        <v>476</v>
      </c>
      <c r="AL33" s="48" t="s">
        <v>459</v>
      </c>
      <c r="AM33" s="49" t="s">
        <v>459</v>
      </c>
      <c r="AN33" s="49"/>
      <c r="AO33" s="49" t="s">
        <v>459</v>
      </c>
      <c r="AP33" s="48" t="s">
        <v>540</v>
      </c>
      <c r="AQ33" s="49" t="s">
        <v>549</v>
      </c>
      <c r="AR33" s="49" t="s">
        <v>459</v>
      </c>
      <c r="AS33" s="49" t="s">
        <v>559</v>
      </c>
      <c r="AT33" s="48" t="s">
        <v>426</v>
      </c>
      <c r="AU33" s="49" t="s">
        <v>572</v>
      </c>
      <c r="AV33" s="48" t="s">
        <v>579</v>
      </c>
      <c r="AW33" s="49" t="s">
        <v>459</v>
      </c>
      <c r="AX33" s="49" t="s">
        <v>459</v>
      </c>
      <c r="AY33" s="49" t="s">
        <v>459</v>
      </c>
      <c r="AZ33" s="49" t="s">
        <v>615</v>
      </c>
      <c r="BA33" s="49" t="s">
        <v>426</v>
      </c>
      <c r="BB33" s="49" t="s">
        <v>559</v>
      </c>
      <c r="BC33" s="49" t="s">
        <v>645</v>
      </c>
      <c r="BD33" s="49" t="s">
        <v>645</v>
      </c>
      <c r="BE33" s="49" t="s">
        <v>579</v>
      </c>
      <c r="BF33" s="49"/>
      <c r="BG33" s="49" t="s">
        <v>459</v>
      </c>
      <c r="BH33" s="49" t="s">
        <v>673</v>
      </c>
      <c r="BI33" s="49"/>
      <c r="BJ33" s="49" t="s">
        <v>405</v>
      </c>
      <c r="BK33" s="49" t="s">
        <v>687</v>
      </c>
      <c r="BL33" s="48" t="s">
        <v>645</v>
      </c>
      <c r="BM33" s="49" t="s">
        <v>426</v>
      </c>
      <c r="BN33" s="49" t="s">
        <v>426</v>
      </c>
      <c r="BO33" s="48" t="s">
        <v>645</v>
      </c>
      <c r="BP33" s="49"/>
      <c r="BQ33" s="49"/>
      <c r="BR33" s="49"/>
      <c r="BS33" s="49"/>
      <c r="BT33" s="49"/>
      <c r="BU33" s="49"/>
      <c r="BV33" s="49"/>
      <c r="BW33" s="49"/>
      <c r="BX33" s="49"/>
      <c r="BY33" s="49"/>
    </row>
    <row r="34" spans="1:77" s="8" customFormat="1">
      <c r="A34" s="12"/>
      <c r="B34" s="9"/>
      <c r="C34" s="12" t="s">
        <v>397</v>
      </c>
      <c r="D34" s="8" t="s">
        <v>400</v>
      </c>
      <c r="E34" s="40" t="s">
        <v>12</v>
      </c>
      <c r="F34" s="40" t="s">
        <v>81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 t="s">
        <v>398</v>
      </c>
      <c r="X34" s="4" t="s">
        <v>408</v>
      </c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7"/>
      <c r="AM34" s="4"/>
      <c r="AN34" s="7" t="s">
        <v>441</v>
      </c>
      <c r="AO34" s="7"/>
      <c r="AP34" s="7"/>
      <c r="AQ34" s="4" t="s">
        <v>550</v>
      </c>
      <c r="AR34" s="4"/>
      <c r="AS34" s="7"/>
      <c r="AT34" s="4"/>
      <c r="AU34" s="4"/>
      <c r="AV34" s="4"/>
      <c r="AW34" s="7" t="s">
        <v>550</v>
      </c>
      <c r="AX34" s="7" t="s">
        <v>459</v>
      </c>
      <c r="AY34" s="4" t="s">
        <v>617</v>
      </c>
      <c r="AZ34" s="4" t="s">
        <v>616</v>
      </c>
      <c r="BA34" s="7" t="s">
        <v>550</v>
      </c>
      <c r="BB34" s="4" t="s">
        <v>636</v>
      </c>
      <c r="BC34" s="7" t="s">
        <v>418</v>
      </c>
      <c r="BD34" s="4"/>
      <c r="BE34" s="7" t="s">
        <v>550</v>
      </c>
      <c r="BF34" s="7" t="s">
        <v>666</v>
      </c>
      <c r="BG34" s="7" t="s">
        <v>636</v>
      </c>
      <c r="BH34" s="4" t="s">
        <v>550</v>
      </c>
      <c r="BI34" s="4" t="s">
        <v>677</v>
      </c>
      <c r="BJ34" s="7" t="s">
        <v>682</v>
      </c>
      <c r="BK34" s="4" t="s">
        <v>688</v>
      </c>
      <c r="BL34" s="7" t="s">
        <v>691</v>
      </c>
      <c r="BM34" s="4" t="s">
        <v>700</v>
      </c>
      <c r="BN34" s="4" t="s">
        <v>688</v>
      </c>
      <c r="BO34" s="7" t="s">
        <v>407</v>
      </c>
      <c r="BP34" s="4"/>
      <c r="BQ34" s="4"/>
      <c r="BR34" s="4"/>
      <c r="BS34" s="4"/>
      <c r="BT34" s="4"/>
      <c r="BU34" s="4"/>
      <c r="BV34" s="4"/>
      <c r="BW34" s="4"/>
      <c r="BX34" s="4"/>
      <c r="BY34" s="4"/>
    </row>
    <row r="35" spans="1:77" s="50" customFormat="1">
      <c r="A35" s="46"/>
      <c r="B35" s="47"/>
      <c r="C35" s="46" t="s">
        <v>409</v>
      </c>
      <c r="D35" s="46" t="s">
        <v>428</v>
      </c>
      <c r="E35" s="51" t="s">
        <v>13</v>
      </c>
      <c r="F35" s="51" t="s">
        <v>81</v>
      </c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8"/>
      <c r="W35" s="48"/>
      <c r="X35" s="49" t="s">
        <v>407</v>
      </c>
      <c r="Y35" s="49" t="s">
        <v>420</v>
      </c>
      <c r="Z35" s="51" t="s">
        <v>429</v>
      </c>
      <c r="AA35" s="51" t="s">
        <v>434</v>
      </c>
      <c r="AB35" s="49" t="s">
        <v>441</v>
      </c>
      <c r="AC35" s="49" t="s">
        <v>398</v>
      </c>
      <c r="AD35" s="51" t="s">
        <v>347</v>
      </c>
      <c r="AE35" s="49" t="s">
        <v>243</v>
      </c>
      <c r="AF35" s="49" t="s">
        <v>246</v>
      </c>
      <c r="AG35" s="51" t="s">
        <v>243</v>
      </c>
      <c r="AH35" s="51" t="s">
        <v>243</v>
      </c>
      <c r="AI35" s="51" t="s">
        <v>481</v>
      </c>
      <c r="AJ35" s="49" t="s">
        <v>481</v>
      </c>
      <c r="AK35" s="49" t="s">
        <v>246</v>
      </c>
      <c r="AL35" s="49" t="s">
        <v>498</v>
      </c>
      <c r="AM35" s="51" t="s">
        <v>505</v>
      </c>
      <c r="AN35" s="48" t="s">
        <v>505</v>
      </c>
      <c r="AO35" s="48"/>
      <c r="AP35" s="48"/>
      <c r="AQ35" s="48"/>
      <c r="AR35" s="48"/>
      <c r="AS35" s="48"/>
      <c r="AT35" s="48"/>
      <c r="AU35" s="52"/>
      <c r="AV35" s="52"/>
      <c r="AW35" s="48"/>
      <c r="AX35" s="48"/>
      <c r="AY35" s="48"/>
      <c r="AZ35" s="48" t="s">
        <v>536</v>
      </c>
      <c r="BA35" s="48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</row>
    <row r="36" spans="1:77" s="8" customFormat="1">
      <c r="A36" s="12"/>
      <c r="B36" s="9"/>
      <c r="C36" s="12" t="s">
        <v>444</v>
      </c>
      <c r="D36" s="12" t="s">
        <v>445</v>
      </c>
      <c r="E36" s="7" t="s">
        <v>12</v>
      </c>
      <c r="F36" s="7" t="s">
        <v>81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7"/>
      <c r="W36" s="7"/>
      <c r="X36" s="4"/>
      <c r="Y36" s="4"/>
      <c r="Z36" s="7"/>
      <c r="AA36" s="7"/>
      <c r="AB36" s="7" t="s">
        <v>442</v>
      </c>
      <c r="AC36" s="4" t="s">
        <v>449</v>
      </c>
      <c r="AD36" s="40" t="s">
        <v>452</v>
      </c>
      <c r="AE36" s="7"/>
      <c r="AF36" s="4" t="s">
        <v>462</v>
      </c>
      <c r="AH36" s="4"/>
      <c r="AI36" s="7"/>
      <c r="AJ36" s="7"/>
      <c r="AK36" s="7"/>
      <c r="AL36" s="7"/>
      <c r="AM36" s="7"/>
      <c r="AN36" s="7"/>
      <c r="AO36" s="7"/>
      <c r="AP36" s="7" t="s">
        <v>541</v>
      </c>
      <c r="AQ36" s="7"/>
      <c r="AR36" s="7"/>
      <c r="AS36" s="7"/>
      <c r="AT36" s="7"/>
      <c r="AU36" s="4"/>
      <c r="AV36" s="7"/>
      <c r="AW36" s="7"/>
      <c r="AX36" s="7"/>
      <c r="AY36" s="7"/>
      <c r="AZ36" s="7"/>
      <c r="BA36" s="7"/>
      <c r="BB36" s="7"/>
      <c r="BC36" s="4"/>
      <c r="BD36" s="7" t="s">
        <v>443</v>
      </c>
      <c r="BE36" s="7" t="s">
        <v>313</v>
      </c>
      <c r="BF36" s="4" t="s">
        <v>667</v>
      </c>
      <c r="BG36" s="4" t="s">
        <v>443</v>
      </c>
      <c r="BH36" s="4"/>
      <c r="BI36" s="4" t="s">
        <v>286</v>
      </c>
      <c r="BJ36" s="7" t="s">
        <v>421</v>
      </c>
      <c r="BK36" s="4" t="s">
        <v>232</v>
      </c>
      <c r="BL36" s="7" t="s">
        <v>692</v>
      </c>
      <c r="BM36" s="4" t="s">
        <v>701</v>
      </c>
      <c r="BN36" s="4" t="s">
        <v>461</v>
      </c>
      <c r="BO36" s="7" t="s">
        <v>232</v>
      </c>
      <c r="BP36" s="4"/>
      <c r="BQ36" s="4"/>
      <c r="BR36" s="4"/>
      <c r="BS36" s="4"/>
      <c r="BT36" s="4"/>
      <c r="BU36" s="4"/>
      <c r="BV36" s="4"/>
      <c r="BW36" s="4"/>
      <c r="BX36" s="4"/>
      <c r="BY36" s="4"/>
    </row>
    <row r="37" spans="1:77" s="50" customFormat="1">
      <c r="A37" s="46"/>
      <c r="B37" s="47"/>
      <c r="C37" s="46" t="s">
        <v>450</v>
      </c>
      <c r="D37" s="46" t="s">
        <v>446</v>
      </c>
      <c r="E37" s="48" t="s">
        <v>12</v>
      </c>
      <c r="F37" s="51" t="s">
        <v>81</v>
      </c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52"/>
      <c r="T37" s="48"/>
      <c r="U37" s="48"/>
      <c r="V37" s="48"/>
      <c r="W37" s="48"/>
      <c r="X37" s="48"/>
      <c r="Y37" s="49"/>
      <c r="Z37" s="48"/>
      <c r="AA37" s="48"/>
      <c r="AB37" s="48" t="s">
        <v>443</v>
      </c>
      <c r="AC37" s="49" t="s">
        <v>442</v>
      </c>
      <c r="AD37" s="51" t="s">
        <v>451</v>
      </c>
      <c r="AE37" s="48" t="s">
        <v>313</v>
      </c>
      <c r="AF37" s="49" t="s">
        <v>461</v>
      </c>
      <c r="AG37" s="51" t="s">
        <v>286</v>
      </c>
      <c r="AH37" s="51" t="s">
        <v>313</v>
      </c>
      <c r="AI37" s="51" t="s">
        <v>313</v>
      </c>
      <c r="AJ37" s="51" t="s">
        <v>313</v>
      </c>
      <c r="AK37" s="48" t="s">
        <v>461</v>
      </c>
      <c r="AL37" s="48" t="s">
        <v>499</v>
      </c>
      <c r="AM37" s="51" t="s">
        <v>504</v>
      </c>
      <c r="AN37" s="48" t="s">
        <v>285</v>
      </c>
      <c r="AO37" s="51" t="s">
        <v>461</v>
      </c>
      <c r="AP37" s="48" t="s">
        <v>442</v>
      </c>
      <c r="AQ37" s="51" t="s">
        <v>451</v>
      </c>
      <c r="AR37" s="48" t="s">
        <v>553</v>
      </c>
      <c r="AS37" s="51" t="s">
        <v>504</v>
      </c>
      <c r="AT37" s="48" t="s">
        <v>313</v>
      </c>
      <c r="AU37" s="49"/>
      <c r="AV37" s="49" t="s">
        <v>580</v>
      </c>
      <c r="AW37" s="49" t="s">
        <v>286</v>
      </c>
      <c r="AX37" s="49"/>
      <c r="AY37" s="49"/>
      <c r="AZ37" s="48"/>
      <c r="BA37" s="49"/>
      <c r="BB37" s="49" t="s">
        <v>637</v>
      </c>
      <c r="BC37" s="49" t="s">
        <v>646</v>
      </c>
      <c r="BD37" s="49"/>
      <c r="BE37" s="48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</row>
    <row r="38" spans="1:77" s="8" customFormat="1">
      <c r="A38" s="12"/>
      <c r="B38" s="9"/>
      <c r="C38" s="12" t="s">
        <v>479</v>
      </c>
      <c r="D38" s="12" t="s">
        <v>478</v>
      </c>
      <c r="E38" s="7" t="s">
        <v>12</v>
      </c>
      <c r="F38" s="40" t="s">
        <v>81</v>
      </c>
      <c r="G38" s="4"/>
      <c r="H38" s="4"/>
      <c r="I38" s="4"/>
      <c r="J38" s="4"/>
      <c r="K38" s="32"/>
      <c r="L38" s="4"/>
      <c r="M38" s="4"/>
      <c r="N38" s="7"/>
      <c r="O38" s="4"/>
      <c r="P38" s="4"/>
      <c r="Q38" s="4"/>
      <c r="R38" s="7"/>
      <c r="S38" s="7"/>
      <c r="T38" s="7"/>
      <c r="U38" s="7"/>
      <c r="V38" s="7"/>
      <c r="W38" s="7"/>
      <c r="X38" s="7"/>
      <c r="Y38" s="4"/>
      <c r="Z38" s="7"/>
      <c r="AA38" s="7"/>
      <c r="AB38" s="4"/>
      <c r="AC38" s="4"/>
      <c r="AD38" s="4"/>
      <c r="AE38" s="4"/>
      <c r="AF38" s="4"/>
      <c r="AG38" s="4"/>
      <c r="AH38" s="4" t="s">
        <v>477</v>
      </c>
      <c r="AI38" s="4" t="s">
        <v>477</v>
      </c>
      <c r="AJ38" s="4" t="s">
        <v>477</v>
      </c>
      <c r="AK38" s="4"/>
      <c r="AL38" s="7" t="s">
        <v>500</v>
      </c>
      <c r="AM38" s="4" t="s">
        <v>512</v>
      </c>
      <c r="AN38" s="7" t="s">
        <v>520</v>
      </c>
      <c r="AO38" s="40" t="s">
        <v>477</v>
      </c>
      <c r="AP38" s="7" t="s">
        <v>512</v>
      </c>
      <c r="AQ38" s="40" t="s">
        <v>544</v>
      </c>
      <c r="AR38" s="7" t="s">
        <v>554</v>
      </c>
      <c r="AS38" s="40" t="s">
        <v>557</v>
      </c>
      <c r="AT38" s="7" t="s">
        <v>567</v>
      </c>
      <c r="AU38" s="4" t="s">
        <v>569</v>
      </c>
      <c r="AV38" s="7" t="s">
        <v>581</v>
      </c>
      <c r="AW38" s="7" t="s">
        <v>586</v>
      </c>
      <c r="AX38" s="7" t="s">
        <v>557</v>
      </c>
      <c r="AY38" s="7" t="s">
        <v>557</v>
      </c>
      <c r="AZ38" s="7" t="s">
        <v>371</v>
      </c>
      <c r="BA38" s="7" t="s">
        <v>557</v>
      </c>
      <c r="BB38" s="4" t="s">
        <v>638</v>
      </c>
      <c r="BC38" s="4" t="s">
        <v>586</v>
      </c>
      <c r="BD38" s="7" t="s">
        <v>512</v>
      </c>
      <c r="BE38" s="4" t="s">
        <v>661</v>
      </c>
      <c r="BF38" s="7" t="s">
        <v>477</v>
      </c>
      <c r="BG38" s="4" t="s">
        <v>477</v>
      </c>
      <c r="BH38" s="4" t="s">
        <v>520</v>
      </c>
      <c r="BI38" s="4" t="s">
        <v>586</v>
      </c>
      <c r="BJ38" s="7" t="s">
        <v>683</v>
      </c>
      <c r="BK38" s="4" t="s">
        <v>683</v>
      </c>
      <c r="BL38" s="7" t="s">
        <v>683</v>
      </c>
      <c r="BM38" s="4" t="s">
        <v>683</v>
      </c>
      <c r="BN38" s="4" t="s">
        <v>683</v>
      </c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</row>
    <row r="39" spans="1:77" s="50" customFormat="1">
      <c r="A39" s="46"/>
      <c r="C39" s="46" t="s">
        <v>484</v>
      </c>
      <c r="D39" s="50" t="s">
        <v>485</v>
      </c>
      <c r="E39" s="48" t="s">
        <v>12</v>
      </c>
      <c r="F39" s="51" t="s">
        <v>81</v>
      </c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 t="s">
        <v>264</v>
      </c>
      <c r="AK39" s="49"/>
      <c r="AL39" s="49"/>
      <c r="AM39" s="49"/>
      <c r="AN39" s="49"/>
      <c r="AO39" s="48"/>
      <c r="AP39" s="49"/>
      <c r="AQ39" s="48"/>
      <c r="AR39" s="48"/>
      <c r="AS39" s="48"/>
      <c r="AT39" s="48"/>
      <c r="AU39" s="49"/>
      <c r="AV39" s="49"/>
      <c r="AW39" s="48"/>
      <c r="AX39" s="48"/>
      <c r="AY39" s="49"/>
      <c r="AZ39" s="49"/>
      <c r="BA39" s="48"/>
      <c r="BB39" s="49"/>
      <c r="BC39" s="48"/>
      <c r="BD39" s="49"/>
      <c r="BE39" s="48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</row>
    <row r="40" spans="1:77" s="8" customFormat="1">
      <c r="A40" s="12"/>
      <c r="B40" s="9"/>
      <c r="C40" s="12" t="s">
        <v>486</v>
      </c>
      <c r="D40" s="8" t="s">
        <v>487</v>
      </c>
      <c r="E40" s="7" t="s">
        <v>12</v>
      </c>
      <c r="F40" s="7" t="s">
        <v>81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7"/>
      <c r="R40" s="7"/>
      <c r="S40" s="7"/>
      <c r="T40" s="7"/>
      <c r="U40" s="7"/>
      <c r="V40" s="7"/>
      <c r="W40" s="7"/>
      <c r="X40" s="4"/>
      <c r="Y40" s="4"/>
      <c r="Z40" s="7"/>
      <c r="AA40" s="7"/>
      <c r="AB40" s="7"/>
      <c r="AC40" s="4"/>
      <c r="AD40" s="7"/>
      <c r="AE40" s="7"/>
      <c r="AF40" s="4"/>
      <c r="AG40" s="4"/>
      <c r="AH40" s="7"/>
      <c r="AI40" s="7"/>
      <c r="AJ40" s="4"/>
      <c r="AK40" s="7" t="s">
        <v>489</v>
      </c>
      <c r="AL40" s="7" t="s">
        <v>370</v>
      </c>
      <c r="AM40" s="40" t="s">
        <v>506</v>
      </c>
      <c r="AN40" s="7" t="s">
        <v>348</v>
      </c>
      <c r="AO40" s="40" t="s">
        <v>535</v>
      </c>
      <c r="AP40" s="7" t="s">
        <v>370</v>
      </c>
      <c r="AQ40" s="40" t="s">
        <v>481</v>
      </c>
      <c r="AR40" s="40" t="s">
        <v>555</v>
      </c>
      <c r="AS40" s="4" t="s">
        <v>560</v>
      </c>
      <c r="AT40" s="7" t="s">
        <v>568</v>
      </c>
      <c r="AU40" s="4" t="s">
        <v>568</v>
      </c>
      <c r="AV40" s="7" t="s">
        <v>582</v>
      </c>
      <c r="AW40" s="7" t="s">
        <v>555</v>
      </c>
      <c r="AX40" s="7" t="s">
        <v>481</v>
      </c>
      <c r="AY40" s="4" t="s">
        <v>604</v>
      </c>
      <c r="AZ40" s="4" t="s">
        <v>618</v>
      </c>
      <c r="BA40" s="4" t="s">
        <v>333</v>
      </c>
      <c r="BB40" s="4" t="s">
        <v>560</v>
      </c>
      <c r="BC40" s="4" t="s">
        <v>381</v>
      </c>
      <c r="BD40" s="4" t="s">
        <v>535</v>
      </c>
      <c r="BE40" s="4" t="s">
        <v>662</v>
      </c>
      <c r="BF40" s="7" t="s">
        <v>333</v>
      </c>
      <c r="BG40" s="7" t="s">
        <v>618</v>
      </c>
      <c r="BH40" s="7" t="s">
        <v>618</v>
      </c>
      <c r="BI40" s="4" t="s">
        <v>615</v>
      </c>
      <c r="BJ40" s="7"/>
      <c r="BK40" s="4"/>
      <c r="BL40" s="4"/>
      <c r="BM40" s="4" t="s">
        <v>481</v>
      </c>
      <c r="BN40" s="4" t="s">
        <v>568</v>
      </c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</row>
    <row r="41" spans="1:77" s="50" customFormat="1">
      <c r="A41" s="46"/>
      <c r="C41" s="46" t="s">
        <v>491</v>
      </c>
      <c r="D41" s="50" t="s">
        <v>502</v>
      </c>
      <c r="E41" s="48" t="s">
        <v>12</v>
      </c>
      <c r="F41" s="48" t="s">
        <v>81</v>
      </c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8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 t="s">
        <v>501</v>
      </c>
      <c r="AM41" s="49"/>
      <c r="AN41" s="49"/>
      <c r="AO41" s="48"/>
      <c r="AP41" s="48"/>
      <c r="AQ41" s="48"/>
      <c r="AR41" s="48"/>
      <c r="AS41" s="48"/>
      <c r="AT41" s="48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</row>
    <row r="42" spans="1:77" s="8" customFormat="1">
      <c r="A42" s="12"/>
      <c r="B42" s="45" t="s">
        <v>490</v>
      </c>
      <c r="C42" s="12" t="s">
        <v>492</v>
      </c>
      <c r="D42" s="8" t="s">
        <v>503</v>
      </c>
      <c r="E42" s="40" t="s">
        <v>14</v>
      </c>
      <c r="F42" s="7" t="s">
        <v>81</v>
      </c>
      <c r="G42" s="7"/>
      <c r="H42" s="7"/>
      <c r="I42" s="4"/>
      <c r="J42" s="4"/>
      <c r="K42" s="4"/>
      <c r="L42" s="4"/>
      <c r="M42" s="4"/>
      <c r="N42" s="4"/>
      <c r="O42" s="4"/>
      <c r="P42" s="4"/>
      <c r="Q42" s="4"/>
      <c r="R42" s="4"/>
      <c r="S42" s="7"/>
      <c r="T42" s="7"/>
      <c r="U42" s="7"/>
      <c r="V42" s="7"/>
      <c r="W42" s="4"/>
      <c r="X42" s="7"/>
      <c r="Y42" s="4"/>
      <c r="Z42" s="7"/>
      <c r="AA42" s="7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7" t="s">
        <v>235</v>
      </c>
      <c r="AM42" s="4" t="s">
        <v>240</v>
      </c>
      <c r="AN42" s="4" t="s">
        <v>240</v>
      </c>
      <c r="AO42" s="40" t="s">
        <v>531</v>
      </c>
      <c r="AP42" s="7" t="s">
        <v>240</v>
      </c>
      <c r="AQ42" s="40" t="s">
        <v>548</v>
      </c>
      <c r="AR42" s="40" t="s">
        <v>233</v>
      </c>
      <c r="AS42" s="40" t="s">
        <v>435</v>
      </c>
      <c r="AT42" s="7"/>
      <c r="AU42" s="4"/>
      <c r="AV42" s="7"/>
      <c r="AW42" s="7"/>
      <c r="AX42" s="7" t="s">
        <v>601</v>
      </c>
      <c r="AY42" s="4"/>
      <c r="AZ42" s="4"/>
      <c r="BA42" s="7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</row>
    <row r="43" spans="1:77" s="50" customFormat="1">
      <c r="A43" s="46"/>
      <c r="B43" s="47"/>
      <c r="C43" s="46" t="s">
        <v>516</v>
      </c>
      <c r="D43" s="50" t="s">
        <v>523</v>
      </c>
      <c r="E43" s="48" t="s">
        <v>12</v>
      </c>
      <c r="F43" s="51" t="s">
        <v>81</v>
      </c>
      <c r="G43" s="49"/>
      <c r="H43" s="49"/>
      <c r="I43" s="49"/>
      <c r="J43" s="49"/>
      <c r="K43" s="49"/>
      <c r="L43" s="49"/>
      <c r="M43" s="49"/>
      <c r="N43" s="48"/>
      <c r="O43" s="49"/>
      <c r="P43" s="49"/>
      <c r="Q43" s="48"/>
      <c r="R43" s="48"/>
      <c r="S43" s="48"/>
      <c r="T43" s="48"/>
      <c r="U43" s="48"/>
      <c r="V43" s="49"/>
      <c r="W43" s="48"/>
      <c r="X43" s="48"/>
      <c r="Y43" s="48"/>
      <c r="Z43" s="48"/>
      <c r="AA43" s="48"/>
      <c r="AB43" s="48"/>
      <c r="AC43" s="49"/>
      <c r="AD43" s="48"/>
      <c r="AE43" s="48"/>
      <c r="AF43" s="49"/>
      <c r="AG43" s="48"/>
      <c r="AH43" s="48"/>
      <c r="AI43" s="48"/>
      <c r="AJ43" s="48"/>
      <c r="AK43" s="48"/>
      <c r="AL43" s="48"/>
      <c r="AM43" s="49" t="s">
        <v>509</v>
      </c>
      <c r="AN43" s="48" t="s">
        <v>235</v>
      </c>
      <c r="AO43" s="49" t="s">
        <v>530</v>
      </c>
      <c r="AP43" s="49" t="s">
        <v>530</v>
      </c>
      <c r="AQ43" s="48"/>
      <c r="AR43" s="51" t="s">
        <v>240</v>
      </c>
      <c r="AS43" s="53" t="s">
        <v>558</v>
      </c>
      <c r="AT43" s="48" t="s">
        <v>558</v>
      </c>
      <c r="AU43" s="49" t="s">
        <v>260</v>
      </c>
      <c r="AV43" s="48"/>
      <c r="AW43" s="48" t="s">
        <v>221</v>
      </c>
      <c r="AX43" s="49"/>
      <c r="AY43" s="49" t="s">
        <v>278</v>
      </c>
      <c r="AZ43" s="49"/>
      <c r="BA43" s="49"/>
      <c r="BB43" s="49"/>
      <c r="BC43" s="49"/>
      <c r="BD43" s="49"/>
      <c r="BE43" s="49"/>
      <c r="BF43" s="48"/>
      <c r="BG43" s="48"/>
      <c r="BH43" s="48"/>
      <c r="BI43" s="49"/>
      <c r="BJ43" s="48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</row>
    <row r="44" spans="1:77" s="8" customFormat="1">
      <c r="A44" s="12"/>
      <c r="C44" s="12" t="s">
        <v>514</v>
      </c>
      <c r="D44" s="8" t="s">
        <v>524</v>
      </c>
      <c r="E44" s="7" t="s">
        <v>12</v>
      </c>
      <c r="F44" s="40" t="s">
        <v>81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 t="s">
        <v>510</v>
      </c>
      <c r="AN44" s="4" t="s">
        <v>233</v>
      </c>
      <c r="AO44" s="4" t="s">
        <v>529</v>
      </c>
      <c r="AP44" s="4" t="s">
        <v>542</v>
      </c>
      <c r="AQ44" s="4" t="s">
        <v>545</v>
      </c>
      <c r="AR44" s="7" t="s">
        <v>233</v>
      </c>
      <c r="AS44" s="40" t="s">
        <v>529</v>
      </c>
      <c r="AT44" s="54">
        <v>1009</v>
      </c>
      <c r="AU44" s="4" t="s">
        <v>275</v>
      </c>
      <c r="AV44" s="4" t="s">
        <v>583</v>
      </c>
      <c r="AW44" s="7" t="s">
        <v>342</v>
      </c>
      <c r="AX44" s="4" t="s">
        <v>382</v>
      </c>
      <c r="AY44" s="4" t="s">
        <v>563</v>
      </c>
      <c r="AZ44" s="4" t="s">
        <v>382</v>
      </c>
      <c r="BA44" s="7"/>
      <c r="BB44" s="4" t="s">
        <v>382</v>
      </c>
      <c r="BC44" s="4" t="s">
        <v>537</v>
      </c>
      <c r="BD44" s="4" t="s">
        <v>382</v>
      </c>
      <c r="BE44" s="7" t="s">
        <v>563</v>
      </c>
      <c r="BF44" s="4"/>
      <c r="BG44" s="4" t="s">
        <v>563</v>
      </c>
      <c r="BH44" s="4" t="s">
        <v>639</v>
      </c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</row>
    <row r="45" spans="1:77" s="50" customFormat="1">
      <c r="A45" s="46"/>
      <c r="C45" s="46" t="s">
        <v>517</v>
      </c>
      <c r="D45" s="50" t="s">
        <v>525</v>
      </c>
      <c r="E45" s="48" t="s">
        <v>12</v>
      </c>
      <c r="F45" s="48" t="s">
        <v>81</v>
      </c>
      <c r="G45" s="49"/>
      <c r="H45" s="49"/>
      <c r="I45" s="49"/>
      <c r="J45" s="48"/>
      <c r="K45" s="49"/>
      <c r="L45" s="49"/>
      <c r="M45" s="48"/>
      <c r="N45" s="49"/>
      <c r="O45" s="49"/>
      <c r="P45" s="49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9"/>
      <c r="AC45" s="49"/>
      <c r="AD45" s="49"/>
      <c r="AE45" s="48"/>
      <c r="AF45" s="49"/>
      <c r="AG45" s="49"/>
      <c r="AH45" s="48"/>
      <c r="AI45" s="48"/>
      <c r="AJ45" s="49"/>
      <c r="AK45" s="49"/>
      <c r="AL45" s="48"/>
      <c r="AM45" s="51" t="s">
        <v>511</v>
      </c>
      <c r="AN45" s="48" t="s">
        <v>521</v>
      </c>
      <c r="AO45" s="49" t="s">
        <v>392</v>
      </c>
      <c r="AP45" s="48" t="s">
        <v>543</v>
      </c>
      <c r="AQ45" s="49" t="s">
        <v>546</v>
      </c>
      <c r="AR45" s="49" t="s">
        <v>261</v>
      </c>
      <c r="AS45" s="49" t="s">
        <v>424</v>
      </c>
      <c r="AT45" s="48" t="s">
        <v>392</v>
      </c>
      <c r="AU45" s="49" t="s">
        <v>308</v>
      </c>
      <c r="AV45" s="48" t="s">
        <v>411</v>
      </c>
      <c r="AW45" s="49" t="s">
        <v>424</v>
      </c>
      <c r="AX45" s="49" t="s">
        <v>521</v>
      </c>
      <c r="AY45" s="49" t="s">
        <v>605</v>
      </c>
      <c r="AZ45" s="49" t="s">
        <v>605</v>
      </c>
      <c r="BA45" s="49" t="s">
        <v>632</v>
      </c>
      <c r="BB45" s="49"/>
      <c r="BC45" s="49"/>
      <c r="BD45" s="49"/>
      <c r="BE45" s="49" t="s">
        <v>536</v>
      </c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</row>
    <row r="46" spans="1:77" s="8" customFormat="1">
      <c r="A46" s="12"/>
      <c r="B46" s="9"/>
      <c r="C46" s="12" t="s">
        <v>518</v>
      </c>
      <c r="D46" s="8" t="s">
        <v>526</v>
      </c>
      <c r="E46" s="7" t="s">
        <v>12</v>
      </c>
      <c r="F46" s="7" t="s">
        <v>81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7"/>
      <c r="AJ46" s="7"/>
      <c r="AK46" s="4"/>
      <c r="AL46" s="7"/>
      <c r="AM46" s="40" t="s">
        <v>515</v>
      </c>
      <c r="AN46" s="7" t="s">
        <v>522</v>
      </c>
      <c r="AO46" s="7"/>
      <c r="AP46" s="7"/>
      <c r="AQ46" s="4"/>
      <c r="AR46" s="4"/>
      <c r="AS46" s="4"/>
      <c r="AT46" s="7"/>
      <c r="AU46" s="4"/>
      <c r="AV46" s="4"/>
      <c r="AW46" s="7"/>
      <c r="AX46" s="4"/>
      <c r="AY46" s="4"/>
      <c r="AZ46" s="4"/>
      <c r="BA46" s="7"/>
      <c r="BB46" s="4"/>
      <c r="BC46" s="4"/>
      <c r="BD46" s="7"/>
      <c r="BE46" s="4"/>
      <c r="BF46" s="7"/>
      <c r="BG46" s="4"/>
      <c r="BH46" s="4"/>
      <c r="BI46" s="4"/>
      <c r="BJ46" s="4"/>
      <c r="BK46" s="4"/>
      <c r="BL46" s="7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</row>
    <row r="47" spans="1:77" s="50" customFormat="1">
      <c r="A47" s="46"/>
      <c r="C47" s="47" t="s">
        <v>587</v>
      </c>
      <c r="D47" s="47" t="s">
        <v>588</v>
      </c>
      <c r="E47" s="48" t="s">
        <v>12</v>
      </c>
      <c r="F47" s="48" t="s">
        <v>81</v>
      </c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8"/>
      <c r="V47" s="49"/>
      <c r="W47" s="48"/>
      <c r="X47" s="49"/>
      <c r="Y47" s="49"/>
      <c r="Z47" s="48"/>
      <c r="AA47" s="48"/>
      <c r="AB47" s="48"/>
      <c r="AC47" s="49"/>
      <c r="AD47" s="48"/>
      <c r="AE47" s="48"/>
      <c r="AF47" s="49"/>
      <c r="AG47" s="49"/>
      <c r="AH47" s="49"/>
      <c r="AI47" s="49"/>
      <c r="AJ47" s="48"/>
      <c r="AK47" s="49"/>
      <c r="AL47" s="48"/>
      <c r="AM47" s="49"/>
      <c r="AN47" s="49"/>
      <c r="AO47" s="48"/>
      <c r="AP47" s="49"/>
      <c r="AQ47" s="49"/>
      <c r="AR47" s="48"/>
      <c r="AS47" s="49"/>
      <c r="AT47" s="49"/>
      <c r="AU47" s="49"/>
      <c r="AV47" s="49"/>
      <c r="AW47" s="49" t="s">
        <v>589</v>
      </c>
      <c r="AX47" s="49"/>
      <c r="AY47" s="49"/>
      <c r="AZ47" s="49"/>
      <c r="BA47" s="49" t="s">
        <v>536</v>
      </c>
      <c r="BB47" s="49" t="s">
        <v>536</v>
      </c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</row>
    <row r="48" spans="1:77" s="8" customFormat="1">
      <c r="A48" s="12"/>
      <c r="C48" s="9" t="s">
        <v>590</v>
      </c>
      <c r="D48" s="8" t="s">
        <v>595</v>
      </c>
      <c r="E48" s="7" t="s">
        <v>12</v>
      </c>
      <c r="F48" s="7" t="s">
        <v>81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7"/>
      <c r="AH48" s="4"/>
      <c r="AI48" s="4"/>
      <c r="AJ48" s="4"/>
      <c r="AK48" s="4"/>
      <c r="AL48" s="7"/>
      <c r="AM48" s="7"/>
      <c r="AN48" s="7"/>
      <c r="AO48" s="4"/>
      <c r="AP48" s="7"/>
      <c r="AQ48" s="7"/>
      <c r="AR48" s="7"/>
      <c r="AS48" s="7"/>
      <c r="AT48" s="7"/>
      <c r="AU48" s="4"/>
      <c r="AV48" s="7"/>
      <c r="AW48" s="7"/>
      <c r="AX48" s="7" t="s">
        <v>542</v>
      </c>
      <c r="AY48" s="4" t="s">
        <v>256</v>
      </c>
      <c r="AZ48" s="4" t="s">
        <v>536</v>
      </c>
      <c r="BA48" s="4" t="s">
        <v>564</v>
      </c>
      <c r="BB48" s="4" t="s">
        <v>403</v>
      </c>
      <c r="BC48" s="4"/>
      <c r="BD48" s="4"/>
      <c r="BE48" s="4"/>
      <c r="BF48" s="7"/>
      <c r="BG48" s="4"/>
      <c r="BH48" s="4"/>
      <c r="BI48" s="4"/>
      <c r="BJ48" s="7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</row>
    <row r="49" spans="1:77" s="50" customFormat="1">
      <c r="A49" s="46"/>
      <c r="C49" s="50" t="s">
        <v>591</v>
      </c>
      <c r="D49" s="47" t="s">
        <v>596</v>
      </c>
      <c r="E49" s="48" t="s">
        <v>12</v>
      </c>
      <c r="F49" s="48" t="s">
        <v>81</v>
      </c>
      <c r="G49" s="49"/>
      <c r="H49" s="49"/>
      <c r="I49" s="48"/>
      <c r="J49" s="49"/>
      <c r="K49" s="49"/>
      <c r="L49" s="49"/>
      <c r="M49" s="49"/>
      <c r="N49" s="49"/>
      <c r="O49" s="49"/>
      <c r="P49" s="49"/>
      <c r="Q49" s="49"/>
      <c r="R49" s="49"/>
      <c r="S49" s="48"/>
      <c r="T49" s="49"/>
      <c r="U49" s="48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8"/>
      <c r="AS49" s="49"/>
      <c r="AT49" s="49"/>
      <c r="AU49" s="49"/>
      <c r="AV49" s="49"/>
      <c r="AW49" s="49"/>
      <c r="AX49" s="49" t="s">
        <v>589</v>
      </c>
      <c r="AY49" s="49" t="s">
        <v>314</v>
      </c>
      <c r="AZ49" s="49"/>
      <c r="BA49" s="49"/>
      <c r="BB49" s="49" t="s">
        <v>536</v>
      </c>
      <c r="BC49" s="49" t="s">
        <v>647</v>
      </c>
      <c r="BD49" s="49" t="s">
        <v>651</v>
      </c>
      <c r="BE49" s="49" t="s">
        <v>663</v>
      </c>
      <c r="BF49" s="49" t="s">
        <v>663</v>
      </c>
      <c r="BG49" s="49" t="s">
        <v>663</v>
      </c>
      <c r="BH49" s="49" t="s">
        <v>536</v>
      </c>
      <c r="BI49" s="49"/>
      <c r="BJ49" s="49" t="s">
        <v>651</v>
      </c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</row>
    <row r="50" spans="1:77" s="8" customFormat="1">
      <c r="A50" s="12"/>
      <c r="B50" s="55" t="s">
        <v>593</v>
      </c>
      <c r="C50" s="9" t="s">
        <v>592</v>
      </c>
      <c r="D50" s="8" t="s">
        <v>594</v>
      </c>
      <c r="E50" s="7" t="s">
        <v>13</v>
      </c>
      <c r="F50" s="7" t="s">
        <v>81</v>
      </c>
      <c r="G50" s="7"/>
      <c r="H50" s="7"/>
      <c r="I50" s="4"/>
      <c r="J50" s="4"/>
      <c r="K50" s="4"/>
      <c r="L50" s="4"/>
      <c r="M50" s="4"/>
      <c r="N50" s="4"/>
      <c r="O50" s="4"/>
      <c r="P50" s="4"/>
      <c r="Q50" s="4"/>
      <c r="R50" s="7"/>
      <c r="S50" s="4"/>
      <c r="T50" s="7"/>
      <c r="U50" s="7"/>
      <c r="V50" s="7"/>
      <c r="W50" s="4"/>
      <c r="X50" s="4"/>
      <c r="Y50" s="4"/>
      <c r="Z50" s="7"/>
      <c r="AA50" s="7"/>
      <c r="AB50" s="4"/>
      <c r="AC50" s="7"/>
      <c r="AD50" s="4"/>
      <c r="AE50" s="4"/>
      <c r="AF50" s="4"/>
      <c r="AG50" s="4"/>
      <c r="AH50" s="4"/>
      <c r="AI50" s="4"/>
      <c r="AJ50" s="4"/>
      <c r="AK50" s="4"/>
      <c r="AL50" s="7"/>
      <c r="AM50" s="4"/>
      <c r="AN50" s="7"/>
      <c r="AO50" s="7"/>
      <c r="AP50" s="7"/>
      <c r="AQ50" s="4"/>
      <c r="AR50" s="7"/>
      <c r="AS50" s="7"/>
      <c r="AT50" s="4"/>
      <c r="AU50" s="4"/>
      <c r="AV50" s="7"/>
      <c r="AW50" s="7"/>
      <c r="AX50" s="7" t="s">
        <v>235</v>
      </c>
      <c r="AY50" s="4" t="s">
        <v>392</v>
      </c>
      <c r="AZ50" s="4"/>
      <c r="BA50" s="4"/>
      <c r="BB50" s="4"/>
      <c r="BC50" s="4"/>
      <c r="BD50" s="4"/>
      <c r="BE50" s="7"/>
      <c r="BF50" s="4" t="s">
        <v>536</v>
      </c>
      <c r="BG50" s="4" t="s">
        <v>536</v>
      </c>
      <c r="BH50" s="4"/>
      <c r="BI50" s="4" t="s">
        <v>536</v>
      </c>
      <c r="BJ50" s="4" t="s">
        <v>368</v>
      </c>
      <c r="BK50" s="4" t="s">
        <v>368</v>
      </c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</row>
    <row r="51" spans="1:77" s="8" customFormat="1">
      <c r="A51" s="12"/>
      <c r="B51" s="9"/>
      <c r="C51" s="9" t="s">
        <v>606</v>
      </c>
      <c r="D51" s="47" t="s">
        <v>609</v>
      </c>
      <c r="E51" s="7" t="s">
        <v>12</v>
      </c>
      <c r="F51" s="7" t="s">
        <v>81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7"/>
      <c r="AJ51" s="4"/>
      <c r="AK51" s="7"/>
      <c r="AL51" s="7"/>
      <c r="AM51" s="7"/>
      <c r="AN51" s="4"/>
      <c r="AO51" s="7"/>
      <c r="AP51" s="7"/>
      <c r="AQ51" s="7"/>
      <c r="AR51" s="7"/>
      <c r="AS51" s="7"/>
      <c r="AT51" s="7"/>
      <c r="AU51" s="4"/>
      <c r="AV51" s="7"/>
      <c r="AW51" s="7"/>
      <c r="AX51" s="7"/>
      <c r="AY51" s="4" t="s">
        <v>286</v>
      </c>
      <c r="AZ51" s="4" t="s">
        <v>536</v>
      </c>
      <c r="BA51" s="7" t="s">
        <v>421</v>
      </c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</row>
    <row r="52" spans="1:77" s="8" customFormat="1">
      <c r="A52" s="12"/>
      <c r="B52" s="9"/>
      <c r="C52" s="9" t="s">
        <v>608</v>
      </c>
      <c r="D52" s="12" t="s">
        <v>607</v>
      </c>
      <c r="E52" s="7" t="s">
        <v>13</v>
      </c>
      <c r="F52" s="7" t="s">
        <v>81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7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7"/>
      <c r="AO52" s="7"/>
      <c r="AP52" s="7"/>
      <c r="AQ52" s="4"/>
      <c r="AR52" s="4"/>
      <c r="AS52" s="7"/>
      <c r="AT52" s="7"/>
      <c r="AU52" s="4"/>
      <c r="AV52" s="4"/>
      <c r="AW52" s="4"/>
      <c r="AX52" s="7"/>
      <c r="AY52" s="4" t="s">
        <v>610</v>
      </c>
      <c r="AZ52" s="4" t="s">
        <v>272</v>
      </c>
      <c r="BA52" s="4" t="s">
        <v>258</v>
      </c>
      <c r="BB52" s="4" t="s">
        <v>536</v>
      </c>
      <c r="BC52" s="7" t="s">
        <v>258</v>
      </c>
      <c r="BD52" s="4" t="s">
        <v>249</v>
      </c>
      <c r="BE52" s="7" t="s">
        <v>272</v>
      </c>
      <c r="BF52" s="7" t="s">
        <v>258</v>
      </c>
      <c r="BG52" s="7" t="s">
        <v>258</v>
      </c>
      <c r="BH52" s="4" t="s">
        <v>272</v>
      </c>
      <c r="BI52" s="4" t="s">
        <v>272</v>
      </c>
      <c r="BJ52" s="4" t="s">
        <v>566</v>
      </c>
      <c r="BK52" s="4" t="s">
        <v>689</v>
      </c>
      <c r="BL52" s="7" t="s">
        <v>272</v>
      </c>
      <c r="BM52" s="4" t="s">
        <v>439</v>
      </c>
      <c r="BN52" s="4" t="s">
        <v>258</v>
      </c>
      <c r="BO52" s="7" t="s">
        <v>258</v>
      </c>
      <c r="BP52" s="4"/>
      <c r="BQ52" s="4"/>
      <c r="BR52" s="4"/>
      <c r="BS52" s="4"/>
      <c r="BT52" s="4"/>
      <c r="BU52" s="4"/>
      <c r="BV52" s="4"/>
      <c r="BW52" s="4"/>
      <c r="BX52" s="4"/>
      <c r="BY52" s="4"/>
    </row>
    <row r="53" spans="1:77" s="8" customFormat="1">
      <c r="A53" s="12"/>
      <c r="B53" s="9"/>
      <c r="C53" s="9" t="s">
        <v>619</v>
      </c>
      <c r="D53" s="47" t="s">
        <v>625</v>
      </c>
      <c r="E53" s="7" t="s">
        <v>12</v>
      </c>
      <c r="F53" s="7" t="s">
        <v>81</v>
      </c>
      <c r="G53" s="7"/>
      <c r="H53" s="7"/>
      <c r="I53" s="4"/>
      <c r="J53" s="7"/>
      <c r="K53" s="4"/>
      <c r="L53" s="4"/>
      <c r="M53" s="4"/>
      <c r="N53" s="4"/>
      <c r="O53" s="4"/>
      <c r="P53" s="4"/>
      <c r="Q53" s="7"/>
      <c r="R53" s="4"/>
      <c r="S53" s="7"/>
      <c r="T53" s="7"/>
      <c r="U53" s="7"/>
      <c r="V53" s="7"/>
      <c r="W53" s="7"/>
      <c r="X53" s="7"/>
      <c r="Y53" s="7"/>
      <c r="Z53" s="7"/>
      <c r="AA53" s="7"/>
      <c r="AB53" s="4"/>
      <c r="AC53" s="4"/>
      <c r="AD53" s="4"/>
      <c r="AE53" s="7"/>
      <c r="AF53" s="4"/>
      <c r="AG53" s="4"/>
      <c r="AH53" s="7"/>
      <c r="AI53" s="7"/>
      <c r="AJ53" s="4"/>
      <c r="AK53" s="4"/>
      <c r="AL53" s="4"/>
      <c r="AM53" s="7"/>
      <c r="AN53" s="7"/>
      <c r="AO53" s="7"/>
      <c r="AP53" s="7"/>
      <c r="AQ53" s="4"/>
      <c r="AR53" s="7"/>
      <c r="AS53" s="4"/>
      <c r="AT53" s="7"/>
      <c r="AU53" s="4"/>
      <c r="AV53" s="7"/>
      <c r="AW53" s="4"/>
      <c r="AX53" s="4"/>
      <c r="AY53" s="34"/>
      <c r="AZ53" s="7" t="s">
        <v>263</v>
      </c>
      <c r="BA53" s="4" t="s">
        <v>298</v>
      </c>
      <c r="BB53" s="4" t="s">
        <v>263</v>
      </c>
      <c r="BC53" s="4" t="s">
        <v>648</v>
      </c>
      <c r="BD53" s="4" t="s">
        <v>254</v>
      </c>
      <c r="BE53" s="4" t="s">
        <v>254</v>
      </c>
      <c r="BF53" s="4"/>
      <c r="BG53" s="4" t="s">
        <v>669</v>
      </c>
      <c r="BH53" s="4" t="s">
        <v>469</v>
      </c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</row>
    <row r="54" spans="1:77" s="8" customFormat="1">
      <c r="A54" s="12"/>
      <c r="B54" s="9"/>
      <c r="C54" s="9" t="s">
        <v>620</v>
      </c>
      <c r="D54" s="9" t="s">
        <v>624</v>
      </c>
      <c r="E54" s="7" t="s">
        <v>12</v>
      </c>
      <c r="F54" s="7" t="s">
        <v>81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7"/>
      <c r="R54" s="4"/>
      <c r="S54" s="7"/>
      <c r="T54" s="7"/>
      <c r="U54" s="7"/>
      <c r="V54" s="4"/>
      <c r="W54" s="7"/>
      <c r="X54" s="7"/>
      <c r="Y54" s="4"/>
      <c r="Z54" s="4"/>
      <c r="AA54" s="7"/>
      <c r="AB54" s="4"/>
      <c r="AC54" s="4"/>
      <c r="AD54" s="4"/>
      <c r="AE54" s="7"/>
      <c r="AF54" s="4"/>
      <c r="AG54" s="4"/>
      <c r="AH54" s="7"/>
      <c r="AI54" s="7"/>
      <c r="AJ54" s="4"/>
      <c r="AK54" s="4"/>
      <c r="AL54" s="4"/>
      <c r="AM54" s="7"/>
      <c r="AN54" s="7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7" t="s">
        <v>287</v>
      </c>
      <c r="BA54" s="4" t="s">
        <v>589</v>
      </c>
      <c r="BB54" s="4" t="s">
        <v>639</v>
      </c>
      <c r="BC54" s="4" t="s">
        <v>287</v>
      </c>
      <c r="BD54" s="4"/>
      <c r="BE54" s="4" t="s">
        <v>287</v>
      </c>
      <c r="BF54" s="7" t="s">
        <v>275</v>
      </c>
      <c r="BG54" s="7"/>
      <c r="BH54" s="7" t="s">
        <v>287</v>
      </c>
      <c r="BI54" s="4" t="s">
        <v>275</v>
      </c>
      <c r="BJ54" s="4"/>
      <c r="BK54" s="4" t="s">
        <v>583</v>
      </c>
      <c r="BL54" s="7" t="s">
        <v>314</v>
      </c>
      <c r="BM54" s="4" t="s">
        <v>342</v>
      </c>
      <c r="BN54" s="4" t="s">
        <v>314</v>
      </c>
      <c r="BO54" s="7" t="s">
        <v>222</v>
      </c>
      <c r="BP54" s="4"/>
      <c r="BQ54" s="4"/>
      <c r="BR54" s="4"/>
      <c r="BS54" s="4"/>
      <c r="BT54" s="4"/>
      <c r="BU54" s="4"/>
      <c r="BV54" s="4"/>
      <c r="BW54" s="4"/>
      <c r="BX54" s="4"/>
      <c r="BY54" s="4"/>
    </row>
    <row r="55" spans="1:77" s="8" customFormat="1">
      <c r="A55" s="12"/>
      <c r="B55" s="9"/>
      <c r="C55" s="9" t="s">
        <v>621</v>
      </c>
      <c r="D55" s="47" t="s">
        <v>626</v>
      </c>
      <c r="E55" s="7" t="s">
        <v>12</v>
      </c>
      <c r="F55" s="7" t="s">
        <v>81</v>
      </c>
      <c r="G55" s="4"/>
      <c r="H55" s="4"/>
      <c r="I55" s="4"/>
      <c r="J55" s="4"/>
      <c r="K55" s="4"/>
      <c r="L55" s="4"/>
      <c r="M55" s="7"/>
      <c r="N55" s="4"/>
      <c r="O55" s="4"/>
      <c r="P55" s="4"/>
      <c r="Q55" s="4"/>
      <c r="R55" s="4"/>
      <c r="S55" s="4"/>
      <c r="T55" s="4"/>
      <c r="U55" s="7"/>
      <c r="V55" s="4"/>
      <c r="W55" s="7"/>
      <c r="X55" s="7"/>
      <c r="Y55" s="7"/>
      <c r="Z55" s="4"/>
      <c r="AA55" s="7"/>
      <c r="AB55" s="4"/>
      <c r="AC55" s="4"/>
      <c r="AD55" s="4"/>
      <c r="AE55" s="7"/>
      <c r="AF55" s="4"/>
      <c r="AG55" s="4"/>
      <c r="AH55" s="7"/>
      <c r="AI55" s="7"/>
      <c r="AJ55" s="4"/>
      <c r="AK55" s="7"/>
      <c r="AL55" s="4"/>
      <c r="AM55" s="7"/>
      <c r="AN55" s="7"/>
      <c r="AO55" s="4"/>
      <c r="AP55" s="7"/>
      <c r="AQ55" s="4"/>
      <c r="AR55" s="4"/>
      <c r="AS55" s="4"/>
      <c r="AT55" s="7"/>
      <c r="AU55" s="4"/>
      <c r="AV55" s="7"/>
      <c r="AW55" s="7"/>
      <c r="AX55" s="7"/>
      <c r="AY55" s="4"/>
      <c r="AZ55" s="7" t="s">
        <v>233</v>
      </c>
      <c r="BA55" s="4" t="s">
        <v>224</v>
      </c>
      <c r="BB55" s="4" t="s">
        <v>601</v>
      </c>
      <c r="BC55" s="4" t="s">
        <v>233</v>
      </c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</row>
    <row r="56" spans="1:77" s="8" customFormat="1">
      <c r="A56" s="12"/>
      <c r="B56" s="55"/>
      <c r="C56" s="9" t="s">
        <v>640</v>
      </c>
      <c r="D56" s="9" t="s">
        <v>641</v>
      </c>
      <c r="E56" s="7" t="s">
        <v>12</v>
      </c>
      <c r="F56" s="7" t="s">
        <v>81</v>
      </c>
      <c r="G56" s="4"/>
      <c r="H56" s="4"/>
      <c r="I56" s="4"/>
      <c r="J56" s="4"/>
      <c r="K56" s="4"/>
      <c r="L56" s="4"/>
      <c r="M56" s="4"/>
      <c r="N56" s="4"/>
      <c r="O56" s="4"/>
      <c r="P56" s="7"/>
      <c r="Q56" s="7"/>
      <c r="R56" s="4"/>
      <c r="S56" s="7"/>
      <c r="T56" s="7"/>
      <c r="U56" s="7"/>
      <c r="V56" s="7"/>
      <c r="W56" s="4"/>
      <c r="X56" s="7"/>
      <c r="Y56" s="4"/>
      <c r="Z56" s="7"/>
      <c r="AA56" s="7"/>
      <c r="AB56" s="7"/>
      <c r="AC56" s="7"/>
      <c r="AD56" s="7"/>
      <c r="AE56" s="4"/>
      <c r="AF56" s="4"/>
      <c r="AG56" s="4"/>
      <c r="AH56" s="7"/>
      <c r="AI56" s="7"/>
      <c r="AJ56" s="4"/>
      <c r="AK56" s="4"/>
      <c r="AL56" s="7"/>
      <c r="AM56" s="7"/>
      <c r="AN56" s="7"/>
      <c r="AO56" s="4"/>
      <c r="AP56" s="4"/>
      <c r="AQ56" s="4"/>
      <c r="AR56" s="7"/>
      <c r="AS56" s="4"/>
      <c r="AT56" s="7"/>
      <c r="AU56" s="4"/>
      <c r="AV56" s="4"/>
      <c r="AW56" s="7"/>
      <c r="AX56" s="7"/>
      <c r="AY56" s="4"/>
      <c r="AZ56" s="4"/>
      <c r="BA56" s="7"/>
      <c r="BB56" s="7" t="s">
        <v>642</v>
      </c>
      <c r="BC56" s="4" t="s">
        <v>642</v>
      </c>
      <c r="BD56" s="4" t="s">
        <v>233</v>
      </c>
      <c r="BE56" s="4" t="s">
        <v>215</v>
      </c>
      <c r="BF56" s="4" t="s">
        <v>233</v>
      </c>
      <c r="BG56" s="4" t="s">
        <v>670</v>
      </c>
      <c r="BH56" s="4" t="s">
        <v>601</v>
      </c>
      <c r="BI56" s="4" t="s">
        <v>601</v>
      </c>
      <c r="BJ56" s="4" t="s">
        <v>215</v>
      </c>
      <c r="BK56" s="4" t="s">
        <v>215</v>
      </c>
      <c r="BL56" s="7" t="s">
        <v>545</v>
      </c>
      <c r="BM56" s="4" t="s">
        <v>546</v>
      </c>
      <c r="BN56" s="4" t="s">
        <v>423</v>
      </c>
      <c r="BO56" s="7" t="s">
        <v>704</v>
      </c>
      <c r="BP56" s="4"/>
      <c r="BQ56" s="4"/>
      <c r="BR56" s="4"/>
      <c r="BS56" s="4"/>
      <c r="BT56" s="4"/>
      <c r="BU56" s="4"/>
      <c r="BV56" s="4"/>
      <c r="BW56" s="4"/>
      <c r="BX56" s="4"/>
      <c r="BY56" s="4"/>
    </row>
    <row r="57" spans="1:77" s="8" customFormat="1">
      <c r="A57" s="12"/>
      <c r="C57" s="9" t="s">
        <v>653</v>
      </c>
      <c r="D57" s="47" t="s">
        <v>655</v>
      </c>
      <c r="E57" s="7" t="s">
        <v>12</v>
      </c>
      <c r="F57" s="7" t="s">
        <v>81</v>
      </c>
      <c r="G57" s="4"/>
      <c r="H57" s="4"/>
      <c r="I57" s="4"/>
      <c r="J57" s="4"/>
      <c r="K57" s="4"/>
      <c r="L57" s="4"/>
      <c r="M57" s="4"/>
      <c r="N57" s="4"/>
      <c r="O57" s="4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4"/>
      <c r="AD57" s="7"/>
      <c r="AE57" s="4"/>
      <c r="AF57" s="4"/>
      <c r="AG57" s="4"/>
      <c r="AH57" s="4"/>
      <c r="AI57" s="4"/>
      <c r="AJ57" s="4"/>
      <c r="AK57" s="4"/>
      <c r="AL57" s="7"/>
      <c r="AM57" s="4"/>
      <c r="AN57" s="4"/>
      <c r="AO57" s="4"/>
      <c r="AP57" s="7"/>
      <c r="AQ57" s="7"/>
      <c r="AR57" s="7"/>
      <c r="AS57" s="7"/>
      <c r="AT57" s="7"/>
      <c r="AU57" s="4"/>
      <c r="AV57" s="4"/>
      <c r="AW57" s="7"/>
      <c r="AX57" s="7"/>
      <c r="AY57" s="4"/>
      <c r="AZ57" s="4"/>
      <c r="BA57" s="7"/>
      <c r="BB57" s="4"/>
      <c r="BC57" s="4"/>
      <c r="BD57" s="7" t="s">
        <v>242</v>
      </c>
      <c r="BE57" s="4" t="s">
        <v>242</v>
      </c>
      <c r="BF57" s="4" t="s">
        <v>666</v>
      </c>
      <c r="BG57" s="4" t="s">
        <v>384</v>
      </c>
      <c r="BH57" s="4" t="s">
        <v>404</v>
      </c>
      <c r="BI57" s="4" t="s">
        <v>556</v>
      </c>
      <c r="BJ57" s="4" t="s">
        <v>634</v>
      </c>
      <c r="BK57" s="4" t="s">
        <v>384</v>
      </c>
      <c r="BL57" s="7" t="s">
        <v>693</v>
      </c>
      <c r="BM57" s="4" t="s">
        <v>242</v>
      </c>
      <c r="BN57" s="4" t="s">
        <v>634</v>
      </c>
      <c r="BO57" s="7" t="s">
        <v>634</v>
      </c>
      <c r="BP57" s="4"/>
      <c r="BQ57" s="4"/>
      <c r="BR57" s="4"/>
      <c r="BS57" s="4"/>
      <c r="BT57" s="4"/>
      <c r="BU57" s="4"/>
      <c r="BV57" s="4"/>
      <c r="BW57" s="4"/>
      <c r="BX57" s="4"/>
      <c r="BY57" s="4"/>
    </row>
    <row r="58" spans="1:77" s="8" customFormat="1">
      <c r="A58" s="12"/>
      <c r="B58" s="9"/>
      <c r="C58" s="9" t="s">
        <v>654</v>
      </c>
      <c r="D58" s="9" t="s">
        <v>656</v>
      </c>
      <c r="E58" s="7" t="s">
        <v>12</v>
      </c>
      <c r="F58" s="7" t="s">
        <v>81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7"/>
      <c r="AB58" s="7"/>
      <c r="AC58" s="4"/>
      <c r="AD58" s="7"/>
      <c r="AE58" s="4"/>
      <c r="AF58" s="4"/>
      <c r="AG58" s="7"/>
      <c r="AH58" s="7"/>
      <c r="AI58" s="7"/>
      <c r="AJ58" s="7"/>
      <c r="AK58" s="7"/>
      <c r="AL58" s="7"/>
      <c r="AM58" s="7"/>
      <c r="AN58" s="7"/>
      <c r="AO58" s="4"/>
      <c r="AP58" s="7"/>
      <c r="AQ58" s="7"/>
      <c r="AR58" s="7"/>
      <c r="AS58" s="7"/>
      <c r="AT58" s="7"/>
      <c r="AU58" s="4"/>
      <c r="AV58" s="7"/>
      <c r="AW58" s="7"/>
      <c r="AX58" s="4"/>
      <c r="AY58" s="7"/>
      <c r="AZ58" s="7"/>
      <c r="BA58" s="4"/>
      <c r="BB58" s="4"/>
      <c r="BC58" s="4"/>
      <c r="BD58" s="7" t="s">
        <v>657</v>
      </c>
      <c r="BE58" s="4" t="s">
        <v>657</v>
      </c>
      <c r="BF58" s="7" t="s">
        <v>208</v>
      </c>
      <c r="BG58" s="7" t="s">
        <v>208</v>
      </c>
      <c r="BH58" s="7" t="s">
        <v>208</v>
      </c>
      <c r="BI58" s="4" t="s">
        <v>657</v>
      </c>
      <c r="BJ58" s="7" t="s">
        <v>284</v>
      </c>
      <c r="BK58" s="4" t="s">
        <v>495</v>
      </c>
      <c r="BL58" s="7" t="s">
        <v>657</v>
      </c>
      <c r="BM58" s="4" t="s">
        <v>340</v>
      </c>
      <c r="BN58" s="4" t="s">
        <v>341</v>
      </c>
      <c r="BO58" s="7" t="s">
        <v>341</v>
      </c>
      <c r="BP58" s="4"/>
      <c r="BQ58" s="4"/>
      <c r="BR58" s="4"/>
      <c r="BS58" s="4"/>
      <c r="BT58" s="4"/>
      <c r="BU58" s="4"/>
      <c r="BV58" s="4"/>
      <c r="BW58" s="4"/>
      <c r="BX58" s="4"/>
      <c r="BY58" s="4"/>
    </row>
    <row r="59" spans="1:77" s="8" customFormat="1" ht="15.75">
      <c r="A59" s="12"/>
      <c r="B59" s="9"/>
      <c r="C59" s="9" t="s">
        <v>678</v>
      </c>
      <c r="D59" s="47" t="s">
        <v>679</v>
      </c>
      <c r="E59" s="7" t="s">
        <v>12</v>
      </c>
      <c r="F59" s="7" t="s">
        <v>81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7"/>
      <c r="AA59" s="4"/>
      <c r="AB59" s="4"/>
      <c r="AC59" s="7"/>
      <c r="AD59" s="7"/>
      <c r="AE59" s="4"/>
      <c r="AF59" s="4"/>
      <c r="AG59" s="4"/>
      <c r="AH59" s="7"/>
      <c r="AI59" s="4"/>
      <c r="AJ59" s="4"/>
      <c r="AK59" s="4"/>
      <c r="AL59" s="4"/>
      <c r="AM59" s="4"/>
      <c r="AN59" s="4"/>
      <c r="AO59" s="4"/>
      <c r="AP59" s="4"/>
      <c r="AQ59" s="4"/>
      <c r="AR59" s="7"/>
      <c r="AS59" s="4"/>
      <c r="AT59" s="4"/>
      <c r="AU59" s="4"/>
      <c r="AV59" s="4"/>
      <c r="AW59" s="35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 t="s">
        <v>246</v>
      </c>
      <c r="BJ59" s="4" t="s">
        <v>475</v>
      </c>
      <c r="BK59" s="4" t="s">
        <v>690</v>
      </c>
      <c r="BL59" s="7" t="s">
        <v>481</v>
      </c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</row>
    <row r="60" spans="1:77" s="8" customFormat="1">
      <c r="A60" s="12"/>
      <c r="C60" s="9" t="s">
        <v>680</v>
      </c>
      <c r="D60" s="9" t="s">
        <v>681</v>
      </c>
      <c r="E60" s="10" t="s">
        <v>12</v>
      </c>
      <c r="F60" s="7" t="s">
        <v>81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7"/>
      <c r="AH60" s="4"/>
      <c r="AI60" s="7"/>
      <c r="AJ60" s="7"/>
      <c r="AK60" s="4"/>
      <c r="AL60" s="7"/>
      <c r="AM60" s="7"/>
      <c r="AN60" s="7"/>
      <c r="AO60" s="4"/>
      <c r="AP60" s="7"/>
      <c r="AQ60" s="4"/>
      <c r="AR60" s="7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7"/>
      <c r="BE60" s="4"/>
      <c r="BF60" s="7"/>
      <c r="BG60" s="4"/>
      <c r="BH60" s="4"/>
      <c r="BI60" s="4"/>
      <c r="BJ60" s="4" t="s">
        <v>317</v>
      </c>
      <c r="BK60" s="4" t="s">
        <v>317</v>
      </c>
      <c r="BL60" s="7" t="s">
        <v>317</v>
      </c>
      <c r="BM60" s="4" t="s">
        <v>317</v>
      </c>
      <c r="BN60" s="4" t="s">
        <v>317</v>
      </c>
      <c r="BO60" s="7" t="s">
        <v>317</v>
      </c>
      <c r="BP60" s="4"/>
      <c r="BQ60" s="4"/>
      <c r="BR60" s="4"/>
      <c r="BS60" s="4"/>
      <c r="BT60" s="4"/>
      <c r="BU60" s="4"/>
      <c r="BV60" s="4"/>
      <c r="BW60" s="4"/>
      <c r="BX60" s="4"/>
      <c r="BY60" s="4"/>
    </row>
    <row r="61" spans="1:77" s="8" customFormat="1">
      <c r="A61" s="12"/>
      <c r="C61" s="9" t="s">
        <v>684</v>
      </c>
      <c r="D61" s="47" t="s">
        <v>685</v>
      </c>
      <c r="E61" s="7"/>
      <c r="F61" s="7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7"/>
      <c r="AM61" s="4"/>
      <c r="AN61" s="4"/>
      <c r="AO61" s="4"/>
      <c r="AP61" s="4"/>
      <c r="AQ61" s="4"/>
      <c r="AR61" s="7"/>
      <c r="AS61" s="4"/>
      <c r="AT61" s="7"/>
      <c r="AU61" s="4"/>
      <c r="AV61" s="4"/>
      <c r="AW61" s="7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</row>
    <row r="62" spans="1:77" s="8" customFormat="1">
      <c r="A62" s="12"/>
      <c r="B62" s="9"/>
      <c r="C62" s="9" t="s">
        <v>694</v>
      </c>
      <c r="D62" s="9" t="s">
        <v>698</v>
      </c>
      <c r="E62" s="7" t="s">
        <v>12</v>
      </c>
      <c r="F62" s="7" t="s">
        <v>81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7"/>
      <c r="V62" s="7"/>
      <c r="W62" s="7"/>
      <c r="X62" s="7"/>
      <c r="Y62" s="4"/>
      <c r="Z62" s="7"/>
      <c r="AA62" s="7"/>
      <c r="AB62" s="4"/>
      <c r="AC62" s="4"/>
      <c r="AD62" s="4"/>
      <c r="AE62" s="7"/>
      <c r="AF62" s="4"/>
      <c r="AG62" s="4"/>
      <c r="AH62" s="7"/>
      <c r="AI62" s="7"/>
      <c r="AJ62" s="7"/>
      <c r="AK62" s="7"/>
      <c r="AL62" s="7"/>
      <c r="AM62" s="4"/>
      <c r="AN62" s="4"/>
      <c r="AO62" s="7"/>
      <c r="AP62" s="7"/>
      <c r="AQ62" s="7"/>
      <c r="AR62" s="7"/>
      <c r="AS62" s="7"/>
      <c r="AT62" s="7"/>
      <c r="AU62" s="4"/>
      <c r="AV62" s="7"/>
      <c r="AW62" s="7"/>
      <c r="AX62" s="4"/>
      <c r="AY62" s="4"/>
      <c r="AZ62" s="4"/>
      <c r="BA62" s="7"/>
      <c r="BB62" s="4"/>
      <c r="BC62" s="4"/>
      <c r="BD62" s="4"/>
      <c r="BE62" s="7"/>
      <c r="BF62" s="4"/>
      <c r="BG62" s="4"/>
      <c r="BH62" s="4"/>
      <c r="BI62" s="4"/>
      <c r="BJ62" s="4"/>
      <c r="BK62" s="4"/>
      <c r="BL62" s="7" t="s">
        <v>671</v>
      </c>
      <c r="BM62" s="4" t="s">
        <v>628</v>
      </c>
      <c r="BN62" s="4" t="s">
        <v>628</v>
      </c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</row>
    <row r="63" spans="1:77" s="8" customFormat="1">
      <c r="A63" s="12"/>
      <c r="B63" s="9"/>
      <c r="C63" s="9" t="s">
        <v>695</v>
      </c>
      <c r="D63" s="47" t="s">
        <v>697</v>
      </c>
      <c r="E63" s="7" t="s">
        <v>12</v>
      </c>
      <c r="F63" s="7" t="s">
        <v>81</v>
      </c>
      <c r="G63" s="4"/>
      <c r="H63" s="7"/>
      <c r="I63" s="7"/>
      <c r="J63" s="7"/>
      <c r="K63" s="4"/>
      <c r="L63" s="4"/>
      <c r="M63" s="7"/>
      <c r="N63" s="4"/>
      <c r="O63" s="4"/>
      <c r="P63" s="4"/>
      <c r="Q63" s="4"/>
      <c r="R63" s="7"/>
      <c r="S63" s="7"/>
      <c r="T63" s="7"/>
      <c r="U63" s="7"/>
      <c r="V63" s="4"/>
      <c r="W63" s="7"/>
      <c r="X63" s="4"/>
      <c r="Y63" s="4"/>
      <c r="Z63" s="7"/>
      <c r="AA63" s="7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7"/>
      <c r="AM63" s="4"/>
      <c r="AN63" s="4"/>
      <c r="AO63" s="7"/>
      <c r="AP63" s="7"/>
      <c r="AQ63" s="4"/>
      <c r="AR63" s="7"/>
      <c r="AS63" s="7"/>
      <c r="AT63" s="4"/>
      <c r="AU63" s="4"/>
      <c r="AV63" s="4"/>
      <c r="AW63" s="7"/>
      <c r="AX63" s="4"/>
      <c r="AY63" s="4"/>
      <c r="AZ63" s="4"/>
      <c r="BA63" s="4"/>
      <c r="BB63" s="4"/>
      <c r="BC63" s="7"/>
      <c r="BD63" s="4"/>
      <c r="BE63" s="7"/>
      <c r="BF63" s="4"/>
      <c r="BG63" s="4"/>
      <c r="BH63" s="4"/>
      <c r="BI63" s="4"/>
      <c r="BJ63" s="4"/>
      <c r="BK63" s="4"/>
      <c r="BL63" s="7" t="s">
        <v>318</v>
      </c>
      <c r="BM63" s="4" t="s">
        <v>347</v>
      </c>
      <c r="BN63" s="4" t="s">
        <v>347</v>
      </c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</row>
    <row r="64" spans="1:77" s="8" customFormat="1">
      <c r="A64" s="12"/>
      <c r="C64" s="9" t="s">
        <v>696</v>
      </c>
      <c r="D64" s="9" t="s">
        <v>699</v>
      </c>
      <c r="E64" s="7" t="s">
        <v>12</v>
      </c>
      <c r="F64" s="7" t="s">
        <v>81</v>
      </c>
      <c r="G64" s="4"/>
      <c r="H64" s="4"/>
      <c r="I64" s="4"/>
      <c r="J64" s="7"/>
      <c r="K64" s="4"/>
      <c r="L64" s="4"/>
      <c r="M64" s="4"/>
      <c r="N64" s="7"/>
      <c r="O64" s="4"/>
      <c r="P64" s="7"/>
      <c r="Q64" s="7"/>
      <c r="R64" s="7"/>
      <c r="S64" s="7"/>
      <c r="T64" s="7"/>
      <c r="U64" s="7"/>
      <c r="V64" s="7"/>
      <c r="W64" s="4"/>
      <c r="X64" s="7"/>
      <c r="Y64" s="4"/>
      <c r="Z64" s="7"/>
      <c r="AA64" s="7"/>
      <c r="AB64" s="7"/>
      <c r="AC64" s="4"/>
      <c r="AD64" s="7"/>
      <c r="AE64" s="7"/>
      <c r="AF64" s="4"/>
      <c r="AG64" s="4"/>
      <c r="AH64" s="7"/>
      <c r="AI64" s="7"/>
      <c r="AJ64" s="4"/>
      <c r="AK64" s="4"/>
      <c r="AL64" s="7"/>
      <c r="AM64" s="4"/>
      <c r="AN64" s="7"/>
      <c r="AO64" s="7"/>
      <c r="AP64" s="7"/>
      <c r="AQ64" s="7"/>
      <c r="AR64" s="7"/>
      <c r="AS64" s="7"/>
      <c r="AT64" s="7"/>
      <c r="AU64" s="4"/>
      <c r="AV64" s="7"/>
      <c r="AW64" s="7"/>
      <c r="AX64" s="7"/>
      <c r="AY64" s="7"/>
      <c r="AZ64" s="7"/>
      <c r="BA64" s="7"/>
      <c r="BB64" s="4"/>
      <c r="BC64" s="4"/>
      <c r="BD64" s="7"/>
      <c r="BE64" s="4"/>
      <c r="BF64" s="7"/>
      <c r="BG64" s="4"/>
      <c r="BH64" s="4"/>
      <c r="BI64" s="4"/>
      <c r="BJ64" s="7"/>
      <c r="BK64" s="4"/>
      <c r="BL64" s="7" t="s">
        <v>675</v>
      </c>
      <c r="BM64" s="4"/>
      <c r="BN64" s="4" t="s">
        <v>675</v>
      </c>
      <c r="BO64" s="7" t="s">
        <v>290</v>
      </c>
      <c r="BP64" s="4"/>
      <c r="BQ64" s="4"/>
      <c r="BR64" s="4"/>
      <c r="BS64" s="4"/>
      <c r="BT64" s="4"/>
      <c r="BU64" s="4"/>
      <c r="BV64" s="4"/>
      <c r="BW64" s="4"/>
      <c r="BX64" s="4"/>
      <c r="BY64" s="4"/>
    </row>
    <row r="65" spans="1:77" s="8" customFormat="1">
      <c r="A65" s="12"/>
      <c r="C65" s="9" t="s">
        <v>705</v>
      </c>
      <c r="D65" s="47" t="s">
        <v>706</v>
      </c>
      <c r="E65" s="7" t="s">
        <v>12</v>
      </c>
      <c r="F65" s="7" t="s">
        <v>81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7"/>
      <c r="AQ65" s="4"/>
      <c r="AR65" s="4"/>
      <c r="AS65" s="7"/>
      <c r="AT65" s="4"/>
      <c r="AU65" s="4"/>
      <c r="AV65" s="4"/>
      <c r="AW65" s="4"/>
      <c r="AX65" s="7"/>
      <c r="AY65" s="4"/>
      <c r="AZ65" s="4"/>
      <c r="BA65" s="4"/>
      <c r="BB65" s="4"/>
      <c r="BC65" s="7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7" t="s">
        <v>535</v>
      </c>
      <c r="BP65" s="4"/>
      <c r="BQ65" s="4"/>
      <c r="BR65" s="4"/>
      <c r="BS65" s="4"/>
      <c r="BT65" s="4"/>
      <c r="BU65" s="4"/>
      <c r="BV65" s="4"/>
      <c r="BW65" s="4"/>
      <c r="BX65" s="4"/>
      <c r="BY65" s="4"/>
    </row>
    <row r="66" spans="1:77" s="8" customFormat="1">
      <c r="A66" s="12"/>
      <c r="B66" s="9"/>
      <c r="C66" s="9"/>
      <c r="D66" s="9"/>
      <c r="E66" s="7"/>
      <c r="F66" s="7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M66" s="7"/>
      <c r="AN66" s="7"/>
      <c r="AO66" s="4"/>
      <c r="AP66" s="7"/>
      <c r="AQ66" s="4"/>
      <c r="AR66" s="7"/>
      <c r="AS66" s="7"/>
      <c r="AT66" s="4"/>
      <c r="AU66" s="4"/>
      <c r="AV66" s="4"/>
      <c r="AW66" s="4"/>
      <c r="AX66" s="7"/>
      <c r="AY66" s="4"/>
      <c r="AZ66" s="4"/>
      <c r="BA66" s="7"/>
      <c r="BB66" s="7"/>
      <c r="BC66" s="7"/>
      <c r="BD66" s="7"/>
      <c r="BE66" s="4"/>
      <c r="BF66" s="7"/>
      <c r="BG66" s="7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</row>
    <row r="67" spans="1:77" s="8" customFormat="1">
      <c r="A67" s="12"/>
      <c r="C67" s="9"/>
      <c r="D67" s="9"/>
      <c r="E67" s="7"/>
      <c r="F67" s="7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7"/>
      <c r="X67" s="4"/>
      <c r="Y67" s="4"/>
      <c r="Z67" s="7"/>
      <c r="AA67" s="7"/>
      <c r="AB67" s="7"/>
      <c r="AC67" s="4"/>
      <c r="AD67" s="7"/>
      <c r="AE67" s="4"/>
      <c r="AF67" s="4"/>
      <c r="AG67" s="7"/>
      <c r="AH67" s="4"/>
      <c r="AI67" s="4"/>
      <c r="AJ67" s="4"/>
      <c r="AK67" s="7"/>
      <c r="AL67" s="7"/>
      <c r="AM67" s="4"/>
      <c r="AN67" s="7"/>
      <c r="AO67" s="4"/>
      <c r="AP67" s="32"/>
      <c r="AQ67" s="7"/>
      <c r="AR67" s="7"/>
      <c r="AS67" s="7"/>
      <c r="AT67" s="7"/>
      <c r="AU67" s="4"/>
      <c r="AV67" s="4"/>
      <c r="AW67" s="7"/>
      <c r="AX67" s="4"/>
      <c r="AY67" s="4"/>
      <c r="AZ67" s="4"/>
      <c r="BA67" s="7"/>
      <c r="BB67" s="4"/>
      <c r="BC67" s="4"/>
      <c r="BD67" s="4"/>
      <c r="BE67" s="4"/>
      <c r="BF67" s="7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</row>
    <row r="68" spans="1:77" s="8" customFormat="1">
      <c r="A68" s="12"/>
      <c r="B68" s="9"/>
      <c r="C68" s="9"/>
      <c r="D68" s="9"/>
      <c r="E68" s="7"/>
      <c r="F68" s="7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4"/>
      <c r="AV68" s="7"/>
      <c r="AW68" s="7"/>
      <c r="AX68" s="7"/>
      <c r="AY68" s="4"/>
      <c r="AZ68" s="4"/>
      <c r="BA68" s="7"/>
      <c r="BB68" s="4"/>
      <c r="BC68" s="7"/>
      <c r="BD68" s="4"/>
      <c r="BE68" s="7"/>
      <c r="BF68" s="7"/>
      <c r="BG68" s="7"/>
      <c r="BH68" s="4"/>
      <c r="BI68" s="4"/>
      <c r="BJ68" s="4"/>
      <c r="BK68" s="4"/>
      <c r="BL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</row>
    <row r="69" spans="1:77" s="8" customFormat="1">
      <c r="A69" s="12"/>
      <c r="C69" s="9"/>
      <c r="D69" s="9"/>
      <c r="E69" s="7"/>
      <c r="F69" s="7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7"/>
      <c r="V69" s="4"/>
      <c r="W69" s="4"/>
      <c r="X69" s="4"/>
      <c r="Y69" s="4"/>
      <c r="Z69" s="4"/>
      <c r="AA69" s="4"/>
      <c r="AB69" s="4"/>
      <c r="AC69" s="4"/>
      <c r="AD69" s="4"/>
      <c r="AE69" s="7"/>
      <c r="AF69" s="4"/>
      <c r="AG69" s="4"/>
      <c r="AH69" s="7"/>
      <c r="AI69" s="4"/>
      <c r="AJ69" s="4"/>
      <c r="AK69" s="4"/>
      <c r="AL69" s="4"/>
      <c r="AM69" s="4"/>
      <c r="AN69" s="4"/>
      <c r="AO69" s="4"/>
      <c r="AP69" s="4"/>
      <c r="AQ69" s="4"/>
      <c r="AR69" s="7"/>
      <c r="AS69" s="4"/>
      <c r="AT69" s="7"/>
      <c r="AU69" s="4"/>
      <c r="AV69" s="7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</row>
    <row r="70" spans="1:77" s="8" customFormat="1">
      <c r="A70" s="12"/>
      <c r="B70" s="9"/>
      <c r="C70" s="9"/>
      <c r="D70" s="9"/>
      <c r="E70" s="7"/>
      <c r="F70" s="7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7"/>
      <c r="AP70" s="4"/>
      <c r="AQ70" s="4"/>
      <c r="AR70" s="4"/>
      <c r="AS70" s="4"/>
      <c r="AT70" s="7"/>
      <c r="AU70" s="4"/>
      <c r="AV70" s="7"/>
      <c r="AW70" s="7"/>
      <c r="AX70" s="7"/>
      <c r="AY70" s="4"/>
      <c r="AZ70" s="4"/>
      <c r="BA70" s="4"/>
      <c r="BB70" s="4"/>
      <c r="BC70" s="4"/>
      <c r="BD70" s="7"/>
      <c r="BE70" s="4"/>
      <c r="BF70" s="7"/>
      <c r="BG70" s="7"/>
      <c r="BH70" s="7"/>
      <c r="BI70" s="4"/>
      <c r="BJ70" s="7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</row>
    <row r="71" spans="1:77" s="8" customFormat="1">
      <c r="A71" s="12"/>
      <c r="B71" s="9"/>
      <c r="D71" s="9"/>
      <c r="E71" s="7"/>
      <c r="F71" s="7"/>
      <c r="G71" s="4"/>
      <c r="H71" s="4"/>
      <c r="I71" s="4"/>
      <c r="J71" s="4"/>
      <c r="K71" s="4"/>
      <c r="L71" s="4"/>
      <c r="M71" s="4"/>
      <c r="N71" s="7"/>
      <c r="O71" s="4"/>
      <c r="P71" s="7"/>
      <c r="Q71" s="7"/>
      <c r="R71" s="7"/>
      <c r="S71" s="7"/>
      <c r="T71" s="7"/>
      <c r="U71" s="7"/>
      <c r="V71" s="7"/>
      <c r="W71" s="7"/>
      <c r="X71" s="7"/>
      <c r="Y71" s="4"/>
      <c r="Z71" s="7"/>
      <c r="AA71" s="7"/>
      <c r="AB71" s="7"/>
      <c r="AC71" s="4"/>
      <c r="AD71" s="7"/>
      <c r="AE71" s="4"/>
      <c r="AF71" s="4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4"/>
      <c r="AV71" s="7"/>
      <c r="AW71" s="7"/>
      <c r="AX71" s="7"/>
      <c r="AY71" s="4"/>
      <c r="AZ71" s="7"/>
      <c r="BA71" s="7"/>
      <c r="BB71" s="4"/>
      <c r="BC71" s="4"/>
      <c r="BD71" s="7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</row>
    <row r="72" spans="1:77" s="8" customFormat="1">
      <c r="A72" s="12"/>
      <c r="B72" s="9"/>
      <c r="C72" s="9"/>
      <c r="D72" s="9"/>
      <c r="E72" s="7"/>
      <c r="F72" s="7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7"/>
      <c r="AA72" s="7"/>
      <c r="AB72" s="7"/>
      <c r="AC72" s="7"/>
      <c r="AD72" s="7"/>
      <c r="AE72" s="4"/>
      <c r="AF72" s="4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4"/>
      <c r="AV72" s="7"/>
      <c r="AW72" s="7"/>
      <c r="AX72" s="7"/>
      <c r="AY72" s="4"/>
      <c r="AZ72" s="7"/>
      <c r="BA72" s="7"/>
      <c r="BB72" s="4"/>
      <c r="BC72" s="7"/>
      <c r="BD72" s="7"/>
      <c r="BE72" s="7"/>
      <c r="BF72" s="7"/>
      <c r="BG72" s="7"/>
      <c r="BH72" s="7"/>
      <c r="BI72" s="4"/>
      <c r="BJ72" s="7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</row>
    <row r="73" spans="1:77" s="8" customFormat="1" ht="13.5" customHeight="1">
      <c r="A73" s="12"/>
      <c r="C73" s="9"/>
      <c r="D73" s="9"/>
      <c r="E73" s="7"/>
      <c r="F73" s="7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7"/>
      <c r="AR73" s="7"/>
      <c r="AS73" s="4"/>
      <c r="AT73" s="4"/>
      <c r="AU73" s="4"/>
      <c r="AV73" s="4"/>
      <c r="AW73" s="7"/>
      <c r="AX73" s="4"/>
      <c r="AY73" s="4"/>
      <c r="AZ73" s="4"/>
      <c r="BA73" s="7"/>
      <c r="BB73" s="4"/>
      <c r="BC73" s="4"/>
      <c r="BD73" s="4"/>
      <c r="BE73" s="4"/>
      <c r="BF73" s="7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</row>
    <row r="74" spans="1:77" s="8" customFormat="1">
      <c r="A74" s="12"/>
      <c r="C74" s="9"/>
      <c r="D74" s="9"/>
      <c r="E74" s="4"/>
      <c r="F74" s="7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7"/>
      <c r="V74" s="4"/>
      <c r="W74" s="7"/>
      <c r="X74" s="4"/>
      <c r="Y74" s="4"/>
      <c r="Z74" s="7"/>
      <c r="AA74" s="7"/>
      <c r="AB74" s="7"/>
      <c r="AC74" s="4"/>
      <c r="AD74" s="7"/>
      <c r="AE74" s="7"/>
      <c r="AF74" s="4"/>
      <c r="AG74" s="7"/>
      <c r="AH74" s="7"/>
      <c r="AI74" s="7"/>
      <c r="AJ74" s="32"/>
      <c r="AK74" s="7"/>
      <c r="AL74" s="7"/>
      <c r="AM74" s="7"/>
      <c r="AN74" s="7"/>
      <c r="AO74" s="7"/>
      <c r="AP74" s="7"/>
      <c r="AQ74" s="4"/>
      <c r="AR74" s="7"/>
      <c r="AS74" s="4"/>
      <c r="AT74" s="7"/>
      <c r="AU74" s="4"/>
      <c r="AV74" s="7"/>
      <c r="AW74" s="7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</row>
    <row r="75" spans="1:77" s="8" customFormat="1">
      <c r="A75" s="12"/>
      <c r="C75" s="9"/>
      <c r="D75" s="9"/>
      <c r="E75" s="7"/>
      <c r="F75" s="7"/>
      <c r="G75" s="4"/>
      <c r="H75" s="4"/>
      <c r="I75" s="4"/>
      <c r="J75" s="4"/>
      <c r="K75" s="4"/>
      <c r="L75" s="4"/>
      <c r="M75" s="7"/>
      <c r="N75" s="4"/>
      <c r="O75" s="4"/>
      <c r="P75" s="4"/>
      <c r="Q75" s="4"/>
      <c r="R75" s="7"/>
      <c r="S75" s="7"/>
      <c r="T75" s="7"/>
      <c r="U75" s="7"/>
      <c r="V75" s="4"/>
      <c r="W75" s="7"/>
      <c r="X75" s="7"/>
      <c r="Y75" s="4"/>
      <c r="Z75" s="7"/>
      <c r="AA75" s="7"/>
      <c r="AB75" s="4"/>
      <c r="AC75" s="7"/>
      <c r="AD75" s="4"/>
      <c r="AE75" s="4"/>
      <c r="AF75" s="4"/>
      <c r="AG75" s="4"/>
      <c r="AH75" s="7"/>
      <c r="AI75" s="7"/>
      <c r="AJ75" s="4"/>
      <c r="AK75" s="4"/>
      <c r="AL75" s="4"/>
      <c r="AM75" s="7"/>
      <c r="AN75" s="7"/>
      <c r="AO75" s="7"/>
      <c r="AP75" s="7"/>
      <c r="AQ75" s="4"/>
      <c r="AR75" s="7"/>
      <c r="AS75" s="7"/>
      <c r="AT75" s="7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</row>
    <row r="76" spans="1:77" s="8" customFormat="1">
      <c r="A76" s="12"/>
      <c r="C76" s="9"/>
      <c r="D76" s="9"/>
      <c r="E76" s="7"/>
      <c r="F76" s="7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7"/>
      <c r="AR76" s="7"/>
      <c r="AS76" s="4"/>
      <c r="AT76" s="7"/>
      <c r="AU76" s="4"/>
      <c r="AV76" s="7"/>
      <c r="AW76" s="7"/>
      <c r="AX76" s="4"/>
      <c r="AY76" s="4"/>
      <c r="AZ76" s="4"/>
      <c r="BA76" s="7"/>
      <c r="BB76" s="4"/>
      <c r="BC76" s="4"/>
      <c r="BD76" s="4"/>
      <c r="BE76" s="7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</row>
    <row r="77" spans="1:77" s="8" customFormat="1">
      <c r="A77" s="12"/>
      <c r="B77" s="9"/>
      <c r="C77" s="9"/>
      <c r="D77" s="9"/>
      <c r="E77" s="7"/>
      <c r="F77" s="7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7"/>
      <c r="S77" s="7"/>
      <c r="T77" s="4"/>
      <c r="U77" s="7"/>
      <c r="V77" s="4"/>
      <c r="W77" s="7"/>
      <c r="X77" s="4"/>
      <c r="Y77" s="4"/>
      <c r="Z77" s="7"/>
      <c r="AA77" s="4"/>
      <c r="AB77" s="4"/>
      <c r="AC77" s="7"/>
      <c r="AD77" s="4"/>
      <c r="AE77" s="7"/>
      <c r="AF77" s="4"/>
      <c r="AG77" s="4"/>
      <c r="AH77" s="7"/>
      <c r="AI77" s="7"/>
      <c r="AJ77" s="4"/>
      <c r="AK77" s="7"/>
      <c r="AL77" s="7"/>
      <c r="AM77" s="7"/>
      <c r="AN77" s="7"/>
      <c r="AO77" s="7"/>
      <c r="AP77" s="7"/>
      <c r="AQ77" s="4"/>
      <c r="AR77" s="7"/>
      <c r="AS77" s="7"/>
      <c r="AT77" s="7"/>
      <c r="AU77" s="4"/>
      <c r="AV77" s="7"/>
      <c r="AW77" s="7"/>
      <c r="AX77" s="7"/>
      <c r="AY77" s="4"/>
      <c r="AZ77" s="4"/>
      <c r="BA77" s="4"/>
      <c r="BB77" s="4"/>
      <c r="BC77" s="7"/>
      <c r="BD77" s="7"/>
      <c r="BE77" s="7"/>
      <c r="BF77" s="7"/>
      <c r="BG77" s="4"/>
      <c r="BH77" s="7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</row>
    <row r="78" spans="1:77" s="8" customFormat="1">
      <c r="A78" s="12"/>
      <c r="C78" s="9"/>
      <c r="D78" s="9"/>
      <c r="E78" s="7"/>
      <c r="F78" s="7"/>
      <c r="G78" s="4"/>
      <c r="H78" s="4"/>
      <c r="I78" s="4"/>
      <c r="J78" s="4"/>
      <c r="K78" s="4"/>
      <c r="L78" s="4"/>
      <c r="M78" s="7"/>
      <c r="N78" s="4"/>
      <c r="O78" s="4"/>
      <c r="P78" s="4"/>
      <c r="Q78" s="4"/>
      <c r="R78" s="4"/>
      <c r="S78" s="4"/>
      <c r="T78" s="7"/>
      <c r="U78" s="4"/>
      <c r="V78" s="4"/>
      <c r="W78" s="7"/>
      <c r="X78" s="7"/>
      <c r="Y78" s="7"/>
      <c r="Z78" s="4"/>
      <c r="AA78" s="7"/>
      <c r="AB78" s="4"/>
      <c r="AC78" s="4"/>
      <c r="AD78" s="4"/>
      <c r="AE78" s="7"/>
      <c r="AF78" s="4"/>
      <c r="AG78" s="4"/>
      <c r="AH78" s="7"/>
      <c r="AI78" s="7"/>
      <c r="AJ78" s="4"/>
      <c r="AK78" s="7"/>
      <c r="AL78" s="7"/>
      <c r="AM78" s="7"/>
      <c r="AN78" s="7"/>
      <c r="AO78" s="4"/>
      <c r="AP78" s="7"/>
      <c r="AQ78" s="4"/>
      <c r="AR78" s="4"/>
      <c r="AS78" s="4"/>
      <c r="AT78" s="7"/>
      <c r="AU78" s="4"/>
      <c r="AV78" s="7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</row>
    <row r="79" spans="1:77" s="8" customFormat="1">
      <c r="A79" s="12"/>
      <c r="C79" s="9"/>
      <c r="D79" s="9"/>
      <c r="E79" s="7"/>
      <c r="F79" s="7"/>
      <c r="G79" s="4"/>
      <c r="H79" s="4"/>
      <c r="I79" s="4"/>
      <c r="J79" s="4"/>
      <c r="K79" s="4"/>
      <c r="L79" s="4"/>
      <c r="M79" s="4"/>
      <c r="N79" s="4"/>
      <c r="O79" s="4"/>
      <c r="P79" s="4"/>
      <c r="Q79" s="7"/>
      <c r="R79" s="7"/>
      <c r="S79" s="7"/>
      <c r="T79" s="7"/>
      <c r="U79" s="7"/>
      <c r="V79" s="7"/>
      <c r="W79" s="7"/>
      <c r="X79" s="7"/>
      <c r="Y79" s="4"/>
      <c r="Z79" s="7"/>
      <c r="AA79" s="7"/>
      <c r="AB79" s="7"/>
      <c r="AC79" s="4"/>
      <c r="AD79" s="7"/>
      <c r="AE79" s="7"/>
      <c r="AF79" s="4"/>
      <c r="AG79" s="4"/>
      <c r="AH79" s="7"/>
      <c r="AI79" s="7"/>
      <c r="AJ79" s="4"/>
      <c r="AK79" s="7"/>
      <c r="AL79" s="7"/>
      <c r="AM79" s="4"/>
      <c r="AN79" s="7"/>
      <c r="AO79" s="7"/>
      <c r="AP79" s="7"/>
      <c r="AQ79" s="7"/>
      <c r="AR79" s="7"/>
      <c r="AS79" s="7"/>
      <c r="AT79" s="7"/>
      <c r="AU79" s="4"/>
      <c r="AV79" s="7"/>
      <c r="AW79" s="7"/>
      <c r="AX79" s="7"/>
      <c r="AY79" s="7"/>
      <c r="AZ79" s="7"/>
      <c r="BA79" s="7"/>
      <c r="BB79" s="4"/>
      <c r="BC79" s="4"/>
      <c r="BD79" s="7"/>
      <c r="BE79" s="4"/>
      <c r="BF79" s="7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</row>
    <row r="80" spans="1:77" s="8" customFormat="1">
      <c r="A80" s="12"/>
      <c r="C80" s="9"/>
      <c r="D80" s="9"/>
      <c r="E80" s="7"/>
      <c r="F80" s="7"/>
      <c r="G80" s="4"/>
      <c r="H80" s="4"/>
      <c r="I80" s="4"/>
      <c r="J80" s="4"/>
      <c r="K80" s="4"/>
      <c r="L80" s="4"/>
      <c r="M80" s="4"/>
      <c r="N80" s="4"/>
      <c r="O80" s="4"/>
      <c r="P80" s="7"/>
      <c r="Q80" s="4"/>
      <c r="R80" s="7"/>
      <c r="S80" s="4"/>
      <c r="T80" s="7"/>
      <c r="U80" s="7"/>
      <c r="V80" s="7"/>
      <c r="W80" s="7"/>
      <c r="X80" s="7"/>
      <c r="Y80" s="4"/>
      <c r="Z80" s="7"/>
      <c r="AA80" s="7"/>
      <c r="AB80" s="4"/>
      <c r="AC80" s="4"/>
      <c r="AD80" s="4"/>
      <c r="AE80" s="4"/>
      <c r="AF80" s="4"/>
      <c r="AG80" s="4"/>
      <c r="AH80" s="7"/>
      <c r="AI80" s="7"/>
      <c r="AJ80" s="4"/>
      <c r="AK80" s="4"/>
      <c r="AL80" s="4"/>
      <c r="AM80" s="4"/>
      <c r="AN80" s="7"/>
      <c r="AO80" s="4"/>
      <c r="AP80" s="4"/>
      <c r="AQ80" s="4"/>
      <c r="AR80" s="7"/>
      <c r="AS80" s="7"/>
      <c r="AT80" s="7"/>
      <c r="AU80" s="4"/>
      <c r="AV80" s="4"/>
      <c r="AW80" s="4"/>
      <c r="AX80" s="4"/>
      <c r="AY80" s="4"/>
      <c r="AZ80" s="4"/>
      <c r="BA80" s="4"/>
      <c r="BB80" s="4"/>
      <c r="BC80" s="4"/>
      <c r="BD80" s="7"/>
      <c r="BE80" s="7"/>
      <c r="BF80" s="7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</row>
    <row r="81" spans="1:77" s="8" customFormat="1">
      <c r="A81" s="12"/>
      <c r="C81" s="9"/>
      <c r="D81" s="9"/>
      <c r="E81" s="7"/>
      <c r="F81" s="7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7"/>
      <c r="AA81" s="4"/>
      <c r="AB81" s="4"/>
      <c r="AC81" s="4"/>
      <c r="AD81" s="4"/>
      <c r="AE81" s="4"/>
      <c r="AF81" s="4"/>
      <c r="AG81" s="4"/>
      <c r="AH81" s="7"/>
      <c r="AI81" s="4"/>
      <c r="AJ81" s="4"/>
      <c r="AK81" s="4"/>
      <c r="AL81" s="4"/>
      <c r="AM81" s="4"/>
      <c r="AN81" s="4"/>
      <c r="AO81" s="7"/>
      <c r="AP81" s="7"/>
      <c r="AQ81" s="4"/>
      <c r="AR81" s="7"/>
      <c r="AS81" s="4"/>
      <c r="AT81" s="4"/>
      <c r="AU81" s="4"/>
      <c r="AV81" s="4"/>
      <c r="AW81" s="4"/>
      <c r="AX81" s="4"/>
      <c r="AY81" s="4"/>
      <c r="AZ81" s="7"/>
      <c r="BA81" s="4"/>
      <c r="BB81" s="4"/>
      <c r="BC81" s="4"/>
      <c r="BD81" s="4"/>
      <c r="BE81" s="7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</row>
    <row r="82" spans="1:77" s="8" customFormat="1">
      <c r="A82" s="12"/>
      <c r="C82" s="12"/>
      <c r="D82" s="9"/>
      <c r="E82" s="7"/>
      <c r="F82" s="7"/>
      <c r="G82" s="4"/>
      <c r="H82" s="4"/>
      <c r="I82" s="4"/>
      <c r="J82" s="7"/>
      <c r="K82" s="4"/>
      <c r="L82" s="4"/>
      <c r="M82" s="4"/>
      <c r="N82" s="10"/>
      <c r="O82" s="4"/>
      <c r="P82" s="7"/>
      <c r="Q82" s="7"/>
      <c r="R82" s="7"/>
      <c r="S82" s="7"/>
      <c r="T82" s="7"/>
      <c r="U82" s="7"/>
      <c r="V82" s="7"/>
      <c r="W82" s="7"/>
      <c r="X82" s="4"/>
      <c r="Y82" s="4"/>
      <c r="Z82" s="7"/>
      <c r="AA82" s="7"/>
      <c r="AB82" s="7"/>
      <c r="AC82" s="4"/>
      <c r="AD82" s="7"/>
      <c r="AE82" s="4"/>
      <c r="AF82" s="4"/>
      <c r="AG82" s="7"/>
      <c r="AH82" s="7"/>
      <c r="AI82" s="7"/>
      <c r="AJ82" s="7"/>
      <c r="AK82" s="7"/>
      <c r="AL82" s="7"/>
      <c r="AM82" s="7"/>
      <c r="AN82" s="4"/>
      <c r="AO82" s="4"/>
      <c r="AP82" s="4"/>
      <c r="AQ82" s="7"/>
      <c r="AR82" s="7"/>
      <c r="AS82" s="7"/>
      <c r="AT82" s="7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</row>
    <row r="83" spans="1:77" s="8" customFormat="1">
      <c r="A83" s="12"/>
      <c r="C83" s="9"/>
      <c r="D83" s="9"/>
      <c r="E83" s="7"/>
      <c r="F83" s="7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7"/>
      <c r="AR83" s="7"/>
      <c r="AS83" s="4"/>
      <c r="AT83" s="7"/>
      <c r="AU83" s="4"/>
      <c r="AV83" s="7"/>
      <c r="AW83" s="7"/>
      <c r="AX83" s="4"/>
      <c r="AY83" s="4"/>
      <c r="AZ83" s="4"/>
      <c r="BA83" s="7"/>
      <c r="BB83" s="4"/>
      <c r="BC83" s="4"/>
      <c r="BD83" s="4"/>
      <c r="BE83" s="7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</row>
    <row r="84" spans="1:77" s="8" customFormat="1">
      <c r="A84" s="12"/>
      <c r="C84" s="9"/>
      <c r="D84" s="9"/>
      <c r="E84" s="7"/>
      <c r="F84" s="7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7"/>
      <c r="AS84" s="4"/>
      <c r="AT84" s="7"/>
      <c r="AU84" s="4"/>
      <c r="AV84" s="4"/>
      <c r="AW84" s="7"/>
      <c r="AX84" s="7"/>
      <c r="AY84" s="4"/>
      <c r="AZ84" s="4"/>
      <c r="BA84" s="7"/>
      <c r="BB84" s="4"/>
      <c r="BC84" s="7"/>
      <c r="BD84" s="4"/>
      <c r="BE84" s="7"/>
      <c r="BF84" s="4"/>
      <c r="BG84" s="7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</row>
    <row r="85" spans="1:77" s="8" customFormat="1">
      <c r="A85" s="12"/>
      <c r="B85" s="9"/>
      <c r="C85" s="9"/>
      <c r="D85" s="9"/>
      <c r="E85" s="7"/>
      <c r="F85" s="7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7"/>
      <c r="AA85" s="4"/>
      <c r="AB85" s="7"/>
      <c r="AC85" s="4"/>
      <c r="AD85" s="7"/>
      <c r="AE85" s="4"/>
      <c r="AF85" s="4"/>
      <c r="AG85" s="7"/>
      <c r="AH85" s="7"/>
      <c r="AI85" s="4"/>
      <c r="AJ85" s="7"/>
      <c r="AK85" s="7"/>
      <c r="AL85" s="7"/>
      <c r="AM85" s="7"/>
      <c r="AN85" s="4"/>
      <c r="AO85" s="7"/>
      <c r="AP85" s="7"/>
      <c r="AQ85" s="7"/>
      <c r="AR85" s="7"/>
      <c r="AS85" s="7"/>
      <c r="AT85" s="7"/>
      <c r="AU85" s="4"/>
      <c r="AV85" s="7"/>
      <c r="AW85" s="7"/>
      <c r="AX85" s="4"/>
      <c r="AY85" s="7"/>
      <c r="AZ85" s="7"/>
      <c r="BA85" s="7"/>
      <c r="BB85" s="4"/>
      <c r="BC85" s="4"/>
      <c r="BD85" s="7"/>
      <c r="BE85" s="4"/>
      <c r="BF85" s="7"/>
      <c r="BG85" s="4"/>
      <c r="BH85" s="4"/>
      <c r="BI85" s="4"/>
      <c r="BJ85" s="7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</row>
    <row r="86" spans="1:77" s="8" customFormat="1">
      <c r="A86" s="12"/>
      <c r="C86" s="9"/>
      <c r="D86" s="9"/>
      <c r="E86" s="7"/>
      <c r="F86" s="7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7"/>
      <c r="V86" s="4"/>
      <c r="W86" s="4"/>
      <c r="X86" s="4"/>
      <c r="Y86" s="4"/>
      <c r="Z86" s="4"/>
      <c r="AA86" s="7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7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</row>
    <row r="87" spans="1:77" s="8" customFormat="1">
      <c r="A87" s="12"/>
      <c r="B87" s="9"/>
      <c r="C87" s="9"/>
      <c r="D87" s="9"/>
      <c r="E87" s="7"/>
      <c r="F87" s="7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7"/>
      <c r="AQ87" s="4"/>
      <c r="AR87" s="4"/>
      <c r="AS87" s="4"/>
      <c r="AT87" s="4"/>
      <c r="AU87" s="4"/>
      <c r="AV87" s="4"/>
      <c r="AW87" s="4"/>
      <c r="AX87" s="7"/>
      <c r="AY87" s="4"/>
      <c r="AZ87" s="4"/>
      <c r="BA87" s="4"/>
      <c r="BB87" s="4"/>
      <c r="BC87" s="4"/>
      <c r="BD87" s="4"/>
      <c r="BE87" s="7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</row>
    <row r="88" spans="1:77" s="8" customFormat="1">
      <c r="A88" s="12"/>
      <c r="B88" s="9"/>
      <c r="C88" s="9"/>
      <c r="D88" s="9"/>
      <c r="E88" s="7"/>
      <c r="F88" s="7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7"/>
      <c r="AQ88" s="7"/>
      <c r="AR88" s="4"/>
      <c r="AS88" s="4"/>
      <c r="AT88" s="7"/>
      <c r="AU88" s="4"/>
      <c r="AV88" s="7"/>
      <c r="AW88" s="4"/>
      <c r="AX88" s="7"/>
      <c r="AY88" s="4"/>
      <c r="AZ88" s="4"/>
      <c r="BA88" s="4"/>
      <c r="BB88" s="4"/>
      <c r="BC88" s="4"/>
      <c r="BD88" s="4"/>
      <c r="BE88" s="7"/>
      <c r="BF88" s="7"/>
      <c r="BG88" s="4"/>
      <c r="BH88" s="7"/>
      <c r="BI88" s="4"/>
      <c r="BJ88" s="7"/>
      <c r="BK88" s="4"/>
      <c r="BL88" s="7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</row>
    <row r="89" spans="1:77" s="8" customFormat="1">
      <c r="A89" s="12"/>
      <c r="B89" s="9"/>
      <c r="C89" s="9"/>
      <c r="D89" s="7"/>
      <c r="E89" s="7"/>
      <c r="F89" s="7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7"/>
      <c r="AM89" s="7"/>
      <c r="AN89" s="7"/>
      <c r="AO89" s="7"/>
      <c r="AP89" s="7"/>
      <c r="AQ89" s="4"/>
      <c r="AR89" s="7"/>
      <c r="AS89" s="7"/>
      <c r="AT89" s="7"/>
      <c r="AU89" s="4"/>
      <c r="AV89" s="7"/>
      <c r="AW89" s="4"/>
      <c r="AX89" s="7"/>
      <c r="AY89" s="4"/>
      <c r="AZ89" s="4"/>
      <c r="BA89" s="7"/>
      <c r="BB89" s="7"/>
      <c r="BC89" s="7"/>
      <c r="BD89" s="7"/>
      <c r="BE89" s="7"/>
      <c r="BF89" s="7"/>
      <c r="BG89" s="7"/>
      <c r="BH89" s="4"/>
      <c r="BI89" s="4"/>
      <c r="BJ89" s="7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</row>
    <row r="90" spans="1:77" s="8" customFormat="1">
      <c r="A90" s="12"/>
      <c r="B90" s="9"/>
      <c r="C90" s="9"/>
      <c r="D90" s="9"/>
      <c r="E90" s="7"/>
      <c r="F90" s="7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7"/>
      <c r="S90" s="7"/>
      <c r="T90" s="4"/>
      <c r="U90" s="4"/>
      <c r="V90" s="4"/>
      <c r="W90" s="7"/>
      <c r="X90" s="4"/>
      <c r="Y90" s="4"/>
      <c r="Z90" s="4"/>
      <c r="AA90" s="7"/>
      <c r="AB90" s="7"/>
      <c r="AC90" s="4"/>
      <c r="AD90" s="7"/>
      <c r="AE90" s="4"/>
      <c r="AF90" s="4"/>
      <c r="AG90" s="4"/>
      <c r="AH90" s="4"/>
      <c r="AI90" s="4"/>
      <c r="AJ90" s="4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4"/>
      <c r="AV90" s="7"/>
      <c r="AW90" s="7"/>
      <c r="AX90" s="7"/>
      <c r="AY90" s="7"/>
      <c r="AZ90" s="7"/>
      <c r="BA90" s="7"/>
      <c r="BB90" s="4"/>
      <c r="BC90" s="7"/>
      <c r="BD90" s="7"/>
      <c r="BE90" s="7"/>
      <c r="BF90" s="7"/>
      <c r="BG90" s="7"/>
      <c r="BH90" s="7"/>
      <c r="BI90" s="4"/>
      <c r="BJ90" s="7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</row>
    <row r="91" spans="1:77" s="8" customFormat="1">
      <c r="A91" s="12"/>
      <c r="B91" s="9"/>
      <c r="C91" s="9"/>
      <c r="D91" s="9"/>
      <c r="E91" s="7"/>
      <c r="F91" s="7"/>
      <c r="G91" s="4"/>
      <c r="H91" s="4"/>
      <c r="I91" s="4"/>
      <c r="J91" s="7"/>
      <c r="K91" s="4"/>
      <c r="L91" s="4"/>
      <c r="M91" s="7"/>
      <c r="N91" s="7"/>
      <c r="O91" s="4"/>
      <c r="P91" s="4"/>
      <c r="Q91" s="7"/>
      <c r="R91" s="7"/>
      <c r="S91" s="7"/>
      <c r="T91" s="7"/>
      <c r="U91" s="7"/>
      <c r="V91" s="7"/>
      <c r="W91" s="7"/>
      <c r="X91" s="4"/>
      <c r="Y91" s="4"/>
      <c r="Z91" s="7"/>
      <c r="AA91" s="7"/>
      <c r="AB91" s="7"/>
      <c r="AC91" s="7"/>
      <c r="AD91" s="7"/>
      <c r="AE91" s="4"/>
      <c r="AF91" s="4"/>
      <c r="AG91" s="7"/>
      <c r="AH91" s="4"/>
      <c r="AI91" s="4"/>
      <c r="AJ91" s="7"/>
      <c r="AK91" s="7"/>
      <c r="AL91" s="7"/>
      <c r="AM91" s="4"/>
      <c r="AN91" s="4"/>
      <c r="AO91" s="7"/>
      <c r="AP91" s="7"/>
      <c r="AQ91" s="4"/>
      <c r="AR91" s="7"/>
      <c r="AS91" s="7"/>
      <c r="AT91" s="4"/>
      <c r="AU91" s="4"/>
      <c r="AV91" s="7"/>
      <c r="AW91" s="7"/>
      <c r="AX91" s="7"/>
      <c r="AY91" s="4"/>
      <c r="AZ91" s="4"/>
      <c r="BA91" s="4"/>
      <c r="BB91" s="4"/>
      <c r="BC91" s="4"/>
      <c r="BD91" s="7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</row>
    <row r="92" spans="1:77" s="8" customFormat="1">
      <c r="A92" s="12"/>
      <c r="B92" s="9"/>
      <c r="C92" s="9"/>
      <c r="D92" s="9"/>
      <c r="E92" s="7"/>
      <c r="F92" s="7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7"/>
      <c r="AA92" s="7"/>
      <c r="AB92" s="7"/>
      <c r="AC92" s="7"/>
      <c r="AD92" s="7"/>
      <c r="AE92" s="4"/>
      <c r="AF92" s="4"/>
      <c r="AG92" s="7"/>
      <c r="AH92" s="4"/>
      <c r="AI92" s="4"/>
      <c r="AJ92" s="4"/>
      <c r="AK92" s="4"/>
      <c r="AL92" s="4"/>
      <c r="AM92" s="4"/>
      <c r="AN92" s="4"/>
      <c r="AO92" s="7"/>
      <c r="AP92" s="7"/>
      <c r="AQ92" s="4"/>
      <c r="AR92" s="7"/>
      <c r="AS92" s="7"/>
      <c r="AT92" s="7"/>
      <c r="AU92" s="4"/>
      <c r="AV92" s="7"/>
      <c r="AW92" s="7"/>
      <c r="AX92" s="7"/>
      <c r="AY92" s="4"/>
      <c r="AZ92" s="7"/>
      <c r="BA92" s="7"/>
      <c r="BB92" s="4"/>
      <c r="BC92" s="4"/>
      <c r="BD92" s="7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</row>
    <row r="93" spans="1:77" s="8" customFormat="1">
      <c r="A93" s="12"/>
      <c r="C93" s="9"/>
      <c r="D93" s="9"/>
      <c r="E93" s="7"/>
      <c r="F93" s="7"/>
      <c r="G93" s="4"/>
      <c r="H93" s="4"/>
      <c r="I93" s="4"/>
      <c r="J93" s="7"/>
      <c r="K93" s="4"/>
      <c r="L93" s="4"/>
      <c r="M93" s="4"/>
      <c r="N93" s="7"/>
      <c r="O93" s="4"/>
      <c r="P93" s="4"/>
      <c r="Q93" s="4"/>
      <c r="R93" s="7"/>
      <c r="S93" s="7"/>
      <c r="T93" s="4"/>
      <c r="U93" s="4"/>
      <c r="V93" s="4"/>
      <c r="W93" s="7"/>
      <c r="X93" s="4"/>
      <c r="Y93" s="4"/>
      <c r="Z93" s="7"/>
      <c r="AA93" s="7"/>
      <c r="AB93" s="7"/>
      <c r="AC93" s="4"/>
      <c r="AD93" s="7"/>
      <c r="AE93" s="4"/>
      <c r="AF93" s="4"/>
      <c r="AG93" s="4"/>
      <c r="AH93" s="4"/>
      <c r="AI93" s="4"/>
      <c r="AJ93" s="4"/>
      <c r="AK93" s="7"/>
      <c r="AL93" s="4"/>
      <c r="AM93" s="7"/>
      <c r="AN93" s="7"/>
      <c r="AO93" s="7"/>
      <c r="AP93" s="7"/>
      <c r="AQ93" s="4"/>
      <c r="AR93" s="7"/>
      <c r="AS93" s="7"/>
      <c r="AT93" s="7"/>
      <c r="AU93" s="4"/>
      <c r="AV93" s="7"/>
      <c r="AW93" s="7"/>
      <c r="AX93" s="7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</row>
    <row r="94" spans="1:77" s="8" customFormat="1">
      <c r="A94" s="12"/>
      <c r="C94" s="9"/>
      <c r="D94" s="9"/>
      <c r="E94" s="7"/>
      <c r="F94" s="7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7"/>
      <c r="AS94" s="7"/>
      <c r="AT94" s="7"/>
      <c r="AU94" s="4"/>
      <c r="AV94" s="7"/>
      <c r="AW94" s="7"/>
      <c r="AX94" s="7"/>
      <c r="AY94" s="4"/>
      <c r="AZ94" s="4"/>
      <c r="BA94" s="7"/>
      <c r="BB94" s="4"/>
      <c r="BC94" s="7"/>
      <c r="BD94" s="4"/>
      <c r="BE94" s="7"/>
      <c r="BF94" s="4"/>
      <c r="BG94" s="7"/>
      <c r="BH94" s="7"/>
      <c r="BI94" s="4"/>
      <c r="BJ94" s="4"/>
      <c r="BK94" s="7"/>
      <c r="BL94" s="7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</row>
    <row r="95" spans="1:77" s="8" customFormat="1">
      <c r="A95" s="12"/>
      <c r="B95" s="9"/>
      <c r="C95" s="9"/>
      <c r="D95" s="9"/>
      <c r="E95" s="7"/>
      <c r="F95" s="7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7"/>
      <c r="AS95" s="4"/>
      <c r="AT95" s="7"/>
      <c r="AU95" s="4"/>
      <c r="AV95" s="7"/>
      <c r="AW95" s="7"/>
      <c r="AX95" s="4"/>
      <c r="AY95" s="4"/>
      <c r="AZ95" s="4"/>
      <c r="BA95" s="7"/>
      <c r="BB95" s="4"/>
      <c r="BC95" s="4"/>
      <c r="BD95" s="4"/>
      <c r="BE95" s="4"/>
      <c r="BF95" s="7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</row>
    <row r="96" spans="1:77" s="8" customFormat="1">
      <c r="A96" s="12"/>
      <c r="B96" s="9"/>
      <c r="C96" s="9"/>
      <c r="D96" s="9"/>
      <c r="E96" s="7"/>
      <c r="F96" s="7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7"/>
      <c r="AS96" s="4"/>
      <c r="AT96" s="4"/>
      <c r="AU96" s="4"/>
      <c r="AV96" s="7"/>
      <c r="AW96" s="4"/>
      <c r="AX96" s="4"/>
      <c r="AY96" s="4"/>
      <c r="AZ96" s="4"/>
      <c r="BA96" s="4"/>
      <c r="BB96" s="4"/>
      <c r="BC96" s="4"/>
      <c r="BD96" s="4"/>
      <c r="BE96" s="4"/>
      <c r="BF96" s="7"/>
      <c r="BG96" s="7"/>
      <c r="BH96" s="7"/>
      <c r="BI96" s="4"/>
      <c r="BJ96" s="7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</row>
    <row r="97" spans="1:77" s="8" customFormat="1">
      <c r="A97" s="12"/>
      <c r="C97" s="9"/>
      <c r="D97" s="9"/>
      <c r="E97" s="7"/>
      <c r="F97" s="7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7"/>
      <c r="AR97" s="7"/>
      <c r="AS97" s="4"/>
      <c r="AT97" s="7"/>
      <c r="AU97" s="4"/>
      <c r="AV97" s="7"/>
      <c r="AW97" s="7"/>
      <c r="AX97" s="7"/>
      <c r="AY97" s="4"/>
      <c r="AZ97" s="4"/>
      <c r="BA97" s="7"/>
      <c r="BB97" s="7"/>
      <c r="BC97" s="7"/>
      <c r="BD97" s="4"/>
      <c r="BE97" s="7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</row>
    <row r="98" spans="1:77" s="8" customFormat="1">
      <c r="A98" s="12"/>
      <c r="C98" s="9"/>
      <c r="D98" s="9"/>
      <c r="E98" s="7"/>
      <c r="F98" s="7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7"/>
      <c r="AS98" s="7"/>
      <c r="AT98" s="4"/>
      <c r="AU98" s="4"/>
      <c r="AV98" s="7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</row>
    <row r="99" spans="1:77" s="8" customFormat="1">
      <c r="A99" s="12"/>
      <c r="B99" s="9"/>
      <c r="C99" s="9"/>
      <c r="D99" s="9"/>
      <c r="E99" s="7"/>
      <c r="F99" s="7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7"/>
      <c r="AS99" s="4"/>
      <c r="AT99" s="7"/>
      <c r="AU99" s="4"/>
      <c r="AV99" s="7"/>
      <c r="AW99" s="7"/>
      <c r="AX99" s="7"/>
      <c r="AY99" s="4"/>
      <c r="AZ99" s="4"/>
      <c r="BA99" s="7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</row>
    <row r="100" spans="1:77" s="8" customFormat="1">
      <c r="A100" s="12"/>
      <c r="C100" s="9"/>
      <c r="D100" s="9"/>
      <c r="E100" s="7"/>
      <c r="F100" s="7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7"/>
      <c r="AT100" s="7"/>
      <c r="AU100" s="4"/>
      <c r="AV100" s="4"/>
      <c r="AW100" s="7"/>
      <c r="AX100" s="4"/>
      <c r="AY100" s="4"/>
      <c r="AZ100" s="4"/>
      <c r="BA100" s="4"/>
      <c r="BB100" s="4"/>
      <c r="BC100" s="4"/>
      <c r="BD100" s="4"/>
      <c r="BE100" s="4"/>
      <c r="BF100" s="7"/>
      <c r="BG100" s="7"/>
      <c r="BH100" s="4"/>
      <c r="BI100" s="4"/>
      <c r="BJ100" s="7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</row>
    <row r="101" spans="1:77" s="8" customFormat="1">
      <c r="A101" s="12"/>
      <c r="C101" s="9"/>
      <c r="D101" s="9"/>
      <c r="E101" s="7"/>
      <c r="F101" s="7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7"/>
      <c r="AU101" s="4"/>
      <c r="AV101" s="4"/>
      <c r="AW101" s="7"/>
      <c r="AX101" s="4"/>
      <c r="AY101" s="4"/>
      <c r="AZ101" s="4"/>
      <c r="BA101" s="7"/>
      <c r="BB101" s="4"/>
      <c r="BC101" s="4"/>
      <c r="BD101" s="4"/>
      <c r="BE101" s="4"/>
      <c r="BF101" s="7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</row>
    <row r="102" spans="1:77" s="8" customFormat="1">
      <c r="A102" s="12"/>
      <c r="B102" s="9"/>
      <c r="C102" s="9"/>
      <c r="D102" s="9"/>
      <c r="E102" s="7"/>
      <c r="F102" s="7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7"/>
      <c r="AU102" s="7"/>
      <c r="AV102" s="7"/>
      <c r="AW102" s="7"/>
      <c r="AX102" s="7"/>
      <c r="AY102" s="4"/>
      <c r="AZ102" s="7"/>
      <c r="BA102" s="7"/>
      <c r="BB102" s="7"/>
      <c r="BC102" s="7"/>
      <c r="BD102" s="4"/>
      <c r="BE102" s="4"/>
      <c r="BF102" s="7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</row>
    <row r="103" spans="1:77">
      <c r="A103" s="42"/>
      <c r="B103" s="11"/>
      <c r="C103" s="9"/>
      <c r="E103" s="6"/>
      <c r="F103" s="6"/>
      <c r="AW103" s="6"/>
      <c r="AX103" s="6"/>
      <c r="BK103" s="6"/>
    </row>
    <row r="105" spans="1:77">
      <c r="C105" s="9"/>
      <c r="E105" s="6"/>
      <c r="F105" s="6"/>
      <c r="G105" s="6"/>
      <c r="AV105" s="6"/>
      <c r="AW105" s="6"/>
      <c r="AX105" s="6"/>
      <c r="BF105" s="6"/>
      <c r="BG105" s="6"/>
      <c r="BH105" s="6"/>
      <c r="BJ105" s="6"/>
    </row>
    <row r="106" spans="1:77">
      <c r="B106" s="9"/>
      <c r="C106" s="9"/>
      <c r="E106" s="6"/>
      <c r="F106" s="6"/>
      <c r="AU106" s="6"/>
      <c r="AW106" s="6"/>
      <c r="BF106" s="6"/>
    </row>
    <row r="107" spans="1:77">
      <c r="B107" s="9"/>
      <c r="C107" s="9"/>
      <c r="E107" s="6"/>
      <c r="F107" s="6"/>
      <c r="AU107" s="6"/>
      <c r="AW107" s="6"/>
      <c r="BF107" s="6"/>
      <c r="BG107" s="6"/>
      <c r="BH107" s="6"/>
      <c r="BJ107" s="6"/>
      <c r="BK107" s="6"/>
    </row>
    <row r="108" spans="1:77">
      <c r="C108" s="9"/>
      <c r="E108" s="6"/>
      <c r="F108" s="6"/>
      <c r="AV108" s="6"/>
      <c r="AW108" s="6"/>
      <c r="AX108" s="6"/>
      <c r="BF108" s="6"/>
    </row>
    <row r="109" spans="1:77">
      <c r="C109" s="9"/>
      <c r="E109" s="6"/>
      <c r="F109" s="6"/>
      <c r="AV109" s="6"/>
      <c r="AW109" s="6"/>
      <c r="BA109" s="6"/>
      <c r="BB109" s="6"/>
      <c r="BC109" s="6"/>
      <c r="BE109" s="6"/>
      <c r="BG109" s="6"/>
      <c r="BH109" s="6"/>
      <c r="BK109" s="6"/>
      <c r="BL109" s="6"/>
    </row>
    <row r="110" spans="1:77">
      <c r="B110" s="9"/>
      <c r="C110" s="9"/>
      <c r="E110" s="6"/>
      <c r="F110" s="6"/>
      <c r="AV110" s="6"/>
      <c r="AW110" s="6"/>
      <c r="AX110" s="6"/>
      <c r="BF110" s="6"/>
      <c r="BG110" s="6"/>
      <c r="BL110" s="6"/>
    </row>
    <row r="111" spans="1:77">
      <c r="A111" s="42"/>
      <c r="B111" s="11"/>
      <c r="C111" s="9"/>
      <c r="E111" s="6"/>
      <c r="F111" s="6"/>
      <c r="AV111" s="6"/>
      <c r="AW111" s="6"/>
      <c r="AX111" s="6"/>
      <c r="BF111" s="4"/>
      <c r="BG111" s="6"/>
    </row>
    <row r="112" spans="1:77">
      <c r="B112" s="9"/>
      <c r="C112" s="9"/>
      <c r="E112" s="6"/>
      <c r="F112" s="6"/>
      <c r="AV112" s="6"/>
      <c r="AW112" s="6"/>
      <c r="AX112" s="6"/>
      <c r="BA112" s="6"/>
      <c r="BB112" s="6"/>
      <c r="BC112" s="6"/>
      <c r="BE112" s="6"/>
      <c r="BG112" s="6"/>
      <c r="BI112" s="6"/>
    </row>
    <row r="113" spans="1:77">
      <c r="B113" s="9"/>
      <c r="C113" s="9"/>
      <c r="E113" s="6"/>
      <c r="F113" s="6"/>
      <c r="AV113" s="6"/>
      <c r="AW113" s="6"/>
      <c r="AX113" s="6"/>
      <c r="BD113" s="6"/>
      <c r="BH113" s="6"/>
    </row>
    <row r="114" spans="1:77">
      <c r="B114" s="9"/>
      <c r="C114" s="23"/>
      <c r="E114" s="6"/>
      <c r="F114" s="6"/>
      <c r="BF114" s="6"/>
      <c r="BH114" s="6"/>
    </row>
    <row r="115" spans="1:77" s="27" customFormat="1">
      <c r="A115" s="43"/>
      <c r="B115" s="22"/>
      <c r="C115" s="23"/>
      <c r="D115" s="24"/>
      <c r="E115" s="6"/>
      <c r="F115" s="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5"/>
      <c r="AX115" s="26"/>
      <c r="AY115" s="26"/>
      <c r="AZ115" s="25"/>
      <c r="BA115" s="26"/>
      <c r="BB115" s="26"/>
      <c r="BC115" s="26"/>
      <c r="BD115" s="26"/>
      <c r="BE115" s="26"/>
      <c r="BF115" s="25"/>
      <c r="BG115" s="26"/>
      <c r="BH115" s="26"/>
      <c r="BI115" s="26"/>
      <c r="BJ115" s="1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</row>
    <row r="116" spans="1:77" s="21" customFormat="1">
      <c r="A116" s="44"/>
      <c r="B116" s="18"/>
      <c r="C116" s="19"/>
      <c r="D116" s="20"/>
      <c r="E116" s="6"/>
      <c r="F116" s="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6"/>
      <c r="AX116" s="6"/>
      <c r="AY116" s="1"/>
      <c r="AZ116" s="1"/>
      <c r="BA116" s="6"/>
      <c r="BB116" s="6"/>
      <c r="BC116" s="6"/>
      <c r="BD116" s="1"/>
      <c r="BE116" s="6"/>
      <c r="BF116" s="1"/>
      <c r="BG116" s="6"/>
      <c r="BH116" s="1"/>
      <c r="BI116" s="1"/>
      <c r="BJ116" s="1"/>
      <c r="BK116" s="6"/>
      <c r="BL116" s="6"/>
      <c r="BM116" s="1"/>
      <c r="BN116" s="1"/>
      <c r="BO116" s="1"/>
    </row>
    <row r="117" spans="1:77" s="21" customFormat="1">
      <c r="A117" s="44"/>
      <c r="B117" s="18"/>
      <c r="C117" s="19"/>
      <c r="D117" s="20"/>
      <c r="E117" s="6"/>
      <c r="F117" s="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6"/>
      <c r="AX117" s="6"/>
      <c r="AY117" s="1"/>
      <c r="AZ117" s="1"/>
      <c r="BA117" s="6"/>
      <c r="BB117" s="6"/>
      <c r="BC117" s="6"/>
      <c r="BD117" s="1"/>
      <c r="BE117" s="6"/>
      <c r="BF117" s="1"/>
      <c r="BG117" s="6"/>
      <c r="BH117" s="1"/>
      <c r="BI117" s="1"/>
      <c r="BJ117" s="1"/>
      <c r="BK117" s="6"/>
      <c r="BL117" s="6"/>
      <c r="BM117" s="1"/>
      <c r="BN117" s="1"/>
      <c r="BO117" s="1"/>
    </row>
    <row r="118" spans="1:77" s="21" customFormat="1">
      <c r="A118" s="44"/>
      <c r="B118" s="18"/>
      <c r="C118" s="19"/>
      <c r="D118" s="20"/>
      <c r="E118" s="6"/>
      <c r="F118" s="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K118" s="1"/>
      <c r="BL118" s="1"/>
      <c r="BM118" s="1"/>
      <c r="BN118" s="1"/>
      <c r="BO118" s="1"/>
    </row>
    <row r="119" spans="1:77">
      <c r="C119" s="9"/>
      <c r="E119" s="6"/>
      <c r="F119" s="6"/>
      <c r="BL119" s="6"/>
    </row>
    <row r="120" spans="1:77">
      <c r="B120" s="9"/>
      <c r="C120" s="9"/>
      <c r="D120" s="20"/>
      <c r="E120" s="6"/>
      <c r="F120" s="6"/>
      <c r="BA120" s="6"/>
      <c r="BK120" s="6"/>
      <c r="BM120" s="4"/>
      <c r="BN120" s="4"/>
    </row>
    <row r="121" spans="1:77">
      <c r="C121" s="9"/>
      <c r="D121" s="20"/>
      <c r="E121" s="6"/>
      <c r="F121" s="6"/>
      <c r="BA121" s="6"/>
      <c r="BB121" s="6"/>
      <c r="BC121" s="6"/>
      <c r="BE121" s="6"/>
      <c r="BG121" s="6"/>
    </row>
    <row r="122" spans="1:77">
      <c r="B122" s="9"/>
      <c r="C122" s="9"/>
      <c r="D122" s="20"/>
      <c r="F122" s="6"/>
      <c r="AX122" s="6"/>
      <c r="BA122" s="6"/>
      <c r="BB122" s="6"/>
    </row>
    <row r="123" spans="1:77">
      <c r="C123" s="9"/>
      <c r="D123" s="20"/>
      <c r="E123" s="6"/>
      <c r="F123" s="6"/>
      <c r="BA123" s="6"/>
      <c r="BB123" s="6"/>
      <c r="BC123" s="6"/>
    </row>
    <row r="124" spans="1:77">
      <c r="C124" s="9"/>
      <c r="D124" s="20"/>
      <c r="E124" s="6"/>
      <c r="F124" s="6"/>
      <c r="BA124" s="6"/>
      <c r="BB124" s="6"/>
      <c r="BC124" s="6"/>
    </row>
    <row r="125" spans="1:77">
      <c r="C125" s="9"/>
      <c r="D125" s="20"/>
      <c r="BA125" s="6"/>
      <c r="BB125" s="6"/>
      <c r="BC125" s="6"/>
      <c r="BE125" s="6"/>
      <c r="BG125" s="6"/>
      <c r="BK125" s="6"/>
      <c r="BL125" s="6"/>
    </row>
    <row r="126" spans="1:77">
      <c r="C126" s="9"/>
      <c r="D126" s="20"/>
      <c r="BA126" s="6"/>
      <c r="BB126" s="6"/>
      <c r="BE126" s="6"/>
      <c r="BF126" s="6"/>
      <c r="BG126" s="6"/>
      <c r="BK126" s="6"/>
      <c r="BL126" s="6"/>
    </row>
    <row r="127" spans="1:77">
      <c r="B127" s="9"/>
      <c r="C127" s="9"/>
      <c r="E127" s="6"/>
      <c r="F127" s="6"/>
      <c r="BA127" s="6"/>
      <c r="BB127" s="6"/>
      <c r="BC127" s="6"/>
    </row>
    <row r="128" spans="1:77">
      <c r="B128" s="9"/>
      <c r="C128" s="9"/>
      <c r="D128" s="20"/>
      <c r="E128" s="6"/>
      <c r="F128" s="6"/>
      <c r="BA128" s="6"/>
      <c r="BB128" s="6"/>
      <c r="BC128" s="6"/>
    </row>
    <row r="129" spans="2:64">
      <c r="B129" s="9"/>
      <c r="C129" s="9"/>
      <c r="BA129" s="6"/>
      <c r="BB129" s="6"/>
      <c r="BC129" s="6"/>
      <c r="BK129" s="6"/>
    </row>
    <row r="130" spans="2:64">
      <c r="B130" s="9"/>
      <c r="C130" s="9"/>
      <c r="E130" s="6"/>
      <c r="F130" s="6"/>
      <c r="BA130" s="6"/>
      <c r="BB130" s="6"/>
      <c r="BC130" s="6"/>
      <c r="BE130" s="6"/>
    </row>
    <row r="131" spans="2:64">
      <c r="B131" s="9"/>
      <c r="C131" s="9"/>
      <c r="E131" s="6"/>
      <c r="F131" s="6"/>
      <c r="BA131" s="6"/>
      <c r="BB131" s="6"/>
      <c r="BC131" s="6"/>
      <c r="BE131" s="6"/>
      <c r="BG131" s="6"/>
      <c r="BJ131" s="6"/>
      <c r="BK131" s="6"/>
      <c r="BL131" s="6"/>
    </row>
    <row r="132" spans="2:64">
      <c r="C132" s="9"/>
      <c r="E132" s="6"/>
      <c r="F132" s="6"/>
      <c r="BA132" s="6"/>
    </row>
    <row r="133" spans="2:64">
      <c r="C133" s="9"/>
      <c r="E133" s="6"/>
      <c r="F133" s="6"/>
      <c r="BA133" s="6"/>
      <c r="BB133" s="6"/>
      <c r="BC133" s="6"/>
      <c r="BE133" s="6"/>
    </row>
    <row r="134" spans="2:64">
      <c r="C134" s="9"/>
      <c r="E134" s="6"/>
      <c r="F134" s="6"/>
    </row>
    <row r="135" spans="2:64">
      <c r="C135" s="9"/>
      <c r="D135" s="2"/>
      <c r="E135" s="6"/>
      <c r="F135" s="6"/>
      <c r="BB135" s="6"/>
      <c r="BC135" s="6"/>
      <c r="BE135" s="6"/>
      <c r="BG135" s="6"/>
      <c r="BL135" s="6"/>
    </row>
    <row r="136" spans="2:64">
      <c r="C136" s="9"/>
      <c r="D136" s="2"/>
      <c r="E136" s="6"/>
      <c r="F136" s="6"/>
      <c r="BB136" s="6"/>
    </row>
    <row r="137" spans="2:64">
      <c r="C137" s="9"/>
    </row>
    <row r="138" spans="2:64">
      <c r="C138" s="9"/>
      <c r="E138" s="6"/>
      <c r="F138" s="6"/>
      <c r="BC138" s="6"/>
      <c r="BE138" s="6"/>
      <c r="BG138" s="6"/>
      <c r="BK138" s="6"/>
      <c r="BL138" s="6"/>
    </row>
    <row r="139" spans="2:64">
      <c r="C139" s="9"/>
      <c r="D139" s="2"/>
      <c r="E139" s="5"/>
      <c r="F139" s="5"/>
      <c r="BC139" s="6"/>
      <c r="BE139" s="6"/>
      <c r="BG139" s="6"/>
    </row>
    <row r="140" spans="2:64">
      <c r="C140" s="9"/>
      <c r="BC140" s="6"/>
      <c r="BE140" s="6"/>
      <c r="BG140" s="6"/>
      <c r="BK140" s="6"/>
      <c r="BL140" s="6"/>
    </row>
    <row r="141" spans="2:64">
      <c r="B141" s="9"/>
      <c r="C141" s="9"/>
      <c r="D141" s="9"/>
      <c r="E141" s="5"/>
      <c r="F141" s="5"/>
      <c r="BC141" s="6"/>
      <c r="BE141" s="6"/>
      <c r="BG141" s="6"/>
      <c r="BK141" s="6"/>
      <c r="BL141" s="6"/>
    </row>
    <row r="142" spans="2:64">
      <c r="C142" s="9"/>
      <c r="E142" s="6"/>
      <c r="F142" s="6"/>
      <c r="BC142" s="6"/>
      <c r="BE142" s="6"/>
      <c r="BG142" s="6"/>
      <c r="BK142" s="6"/>
      <c r="BL142" s="6"/>
    </row>
    <row r="143" spans="2:64">
      <c r="C143" s="9"/>
      <c r="E143" s="6"/>
      <c r="F143" s="6"/>
      <c r="BC143" s="6"/>
      <c r="BE143" s="6"/>
      <c r="BG143" s="6"/>
      <c r="BK143" s="6"/>
      <c r="BL143" s="6"/>
    </row>
    <row r="144" spans="2:64">
      <c r="C144" s="9"/>
      <c r="E144" s="6"/>
      <c r="F144" s="6"/>
      <c r="BE144" s="6"/>
    </row>
    <row r="145" spans="1:77">
      <c r="C145" s="9"/>
      <c r="BG145" s="6"/>
    </row>
    <row r="146" spans="1:77">
      <c r="C146" s="9"/>
      <c r="E146" s="6"/>
      <c r="F146" s="6"/>
      <c r="BE146" s="6"/>
      <c r="BG146" s="6"/>
    </row>
    <row r="147" spans="1:77">
      <c r="C147" s="9"/>
      <c r="E147" s="6"/>
      <c r="F147" s="6"/>
      <c r="BE147" s="6"/>
      <c r="BG147" s="6"/>
      <c r="BK147" s="6"/>
      <c r="BL147" s="6"/>
    </row>
    <row r="148" spans="1:77">
      <c r="C148" s="9"/>
      <c r="D148" s="2"/>
    </row>
    <row r="149" spans="1:77">
      <c r="B149" s="9"/>
      <c r="E149" s="6"/>
      <c r="F149" s="6"/>
      <c r="BG149" s="6"/>
    </row>
    <row r="150" spans="1:77">
      <c r="C150" s="9"/>
      <c r="E150" s="6"/>
      <c r="F150" s="6"/>
    </row>
    <row r="151" spans="1:77">
      <c r="C151" s="9"/>
    </row>
    <row r="152" spans="1:77">
      <c r="C152" s="9"/>
    </row>
    <row r="153" spans="1:77">
      <c r="C153" s="9"/>
      <c r="BK153" s="6"/>
    </row>
    <row r="154" spans="1:77">
      <c r="E154" s="6"/>
      <c r="F154" s="6"/>
      <c r="BK154" s="6"/>
    </row>
    <row r="155" spans="1:77">
      <c r="C155" s="9"/>
      <c r="D155" s="2"/>
      <c r="E155" s="6"/>
      <c r="F155" s="6"/>
      <c r="BK155" s="6"/>
      <c r="BL155" s="6"/>
    </row>
    <row r="156" spans="1:77">
      <c r="C156" s="9"/>
      <c r="E156" s="6"/>
      <c r="F156" s="6"/>
    </row>
    <row r="157" spans="1:77" s="27" customFormat="1">
      <c r="A157" s="43"/>
      <c r="B157" s="22"/>
      <c r="C157" s="23"/>
      <c r="D157" s="24"/>
      <c r="E157" s="25"/>
      <c r="F157" s="25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</row>
    <row r="158" spans="1:77" s="27" customFormat="1">
      <c r="A158" s="43"/>
      <c r="B158" s="22"/>
      <c r="C158" s="23"/>
      <c r="D158" s="24"/>
      <c r="E158" s="25"/>
      <c r="F158" s="25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</row>
    <row r="159" spans="1:77" s="27" customFormat="1">
      <c r="A159" s="43"/>
      <c r="B159" s="22"/>
      <c r="C159" s="23"/>
      <c r="D159" s="24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</row>
    <row r="160" spans="1:77" s="27" customFormat="1">
      <c r="A160" s="43"/>
      <c r="B160" s="22"/>
      <c r="C160" s="23"/>
      <c r="D160" s="24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</row>
    <row r="161" spans="1:112" s="27" customFormat="1">
      <c r="A161" s="43"/>
      <c r="B161" s="22"/>
      <c r="D161" s="24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</row>
    <row r="162" spans="1:112" s="27" customFormat="1">
      <c r="A162" s="43"/>
      <c r="B162" s="22"/>
      <c r="C162" s="22"/>
      <c r="D162" s="24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</row>
    <row r="163" spans="1:112" s="27" customFormat="1">
      <c r="A163" s="43"/>
      <c r="B163" s="22"/>
      <c r="C163" s="22"/>
      <c r="D163" s="24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</row>
    <row r="164" spans="1:112" s="27" customFormat="1">
      <c r="A164" s="28"/>
      <c r="B164" s="28"/>
      <c r="D164" s="24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30"/>
      <c r="BQ164" s="30"/>
      <c r="BR164" s="30"/>
      <c r="BS164" s="3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30"/>
      <c r="DF164" s="30"/>
      <c r="DG164" s="30"/>
      <c r="DH164" s="30"/>
    </row>
    <row r="165" spans="1:112" s="27" customFormat="1">
      <c r="A165" s="43"/>
      <c r="B165" s="22"/>
      <c r="D165" s="24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</row>
    <row r="166" spans="1:112" s="27" customFormat="1">
      <c r="A166" s="43"/>
      <c r="B166" s="22"/>
      <c r="D166" s="24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</row>
    <row r="167" spans="1:112" s="27" customFormat="1">
      <c r="A167" s="43"/>
      <c r="B167" s="22"/>
      <c r="D167" s="24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</row>
    <row r="168" spans="1:112" s="27" customFormat="1">
      <c r="A168" s="43"/>
      <c r="B168" s="22"/>
      <c r="D168" s="24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</row>
    <row r="169" spans="1:112" s="27" customFormat="1">
      <c r="A169" s="43"/>
      <c r="B169" s="22"/>
      <c r="D169" s="24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</row>
    <row r="170" spans="1:112" s="27" customFormat="1">
      <c r="A170" s="43"/>
      <c r="B170" s="22"/>
      <c r="D170" s="24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</row>
    <row r="171" spans="1:112" s="27" customFormat="1">
      <c r="A171" s="43"/>
      <c r="B171" s="22"/>
      <c r="D171" s="24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</row>
    <row r="172" spans="1:112" s="27" customFormat="1">
      <c r="A172" s="43"/>
      <c r="B172" s="22"/>
      <c r="D172" s="24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</row>
    <row r="173" spans="1:112" s="27" customFormat="1">
      <c r="A173" s="43"/>
      <c r="B173" s="22"/>
      <c r="D173" s="24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</row>
    <row r="296" spans="1:102" ht="13.5" thickBot="1"/>
    <row r="297" spans="1:102" s="3" customFormat="1" ht="13.5" thickTop="1">
      <c r="A297" s="12"/>
      <c r="B297" s="8"/>
      <c r="C297"/>
      <c r="D297" s="1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/>
      <c r="CA297"/>
      <c r="CB297"/>
      <c r="CC297"/>
      <c r="CD297"/>
      <c r="CE297"/>
      <c r="CF297"/>
      <c r="CG297" s="3">
        <f t="shared" ref="CG297:CX297" si="2">COUNTA(CG3:CG296)-COUNTIF(CG3:CG296,"intertidal")</f>
        <v>0</v>
      </c>
      <c r="CH297" s="3">
        <f t="shared" si="2"/>
        <v>0</v>
      </c>
      <c r="CI297" s="3">
        <f t="shared" si="2"/>
        <v>0</v>
      </c>
      <c r="CJ297" s="3">
        <f t="shared" si="2"/>
        <v>0</v>
      </c>
      <c r="CK297" s="3">
        <f t="shared" si="2"/>
        <v>0</v>
      </c>
      <c r="CL297" s="3">
        <f t="shared" si="2"/>
        <v>0</v>
      </c>
      <c r="CM297" s="3">
        <f t="shared" si="2"/>
        <v>0</v>
      </c>
      <c r="CN297" s="3">
        <f t="shared" si="2"/>
        <v>0</v>
      </c>
      <c r="CO297" s="3">
        <f t="shared" si="2"/>
        <v>0</v>
      </c>
      <c r="CP297" s="3">
        <f t="shared" si="2"/>
        <v>0</v>
      </c>
      <c r="CQ297" s="3">
        <f t="shared" si="2"/>
        <v>0</v>
      </c>
      <c r="CR297" s="3">
        <f t="shared" si="2"/>
        <v>0</v>
      </c>
      <c r="CS297" s="3">
        <f t="shared" si="2"/>
        <v>0</v>
      </c>
      <c r="CT297" s="3">
        <f t="shared" si="2"/>
        <v>0</v>
      </c>
      <c r="CU297" s="3">
        <f t="shared" si="2"/>
        <v>0</v>
      </c>
      <c r="CV297" s="3">
        <f t="shared" si="2"/>
        <v>0</v>
      </c>
      <c r="CW297" s="3">
        <f t="shared" si="2"/>
        <v>0</v>
      </c>
      <c r="CX297" s="3">
        <f t="shared" si="2"/>
        <v>0</v>
      </c>
    </row>
  </sheetData>
  <sortState ref="A3:BP81">
    <sortCondition ref="D3"/>
  </sortState>
  <mergeCells count="1">
    <mergeCell ref="D1:F1"/>
  </mergeCells>
  <phoneticPr fontId="9" type="noConversion"/>
  <conditionalFormatting sqref="C48:C64 C66:C103 C105:C1048576 C1:C9 C16:C46">
    <cfRule type="duplicateValues" dxfId="8" priority="8"/>
  </conditionalFormatting>
  <conditionalFormatting sqref="C1:C1048576">
    <cfRule type="duplicateValues" dxfId="7" priority="1"/>
  </conditionalFormatting>
  <pageMargins left="0.71" right="0.71" top="0.75000000000000011" bottom="0.75000000000000011" header="0.31" footer="0.31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E115"/>
  <sheetViews>
    <sheetView workbookViewId="0">
      <selection activeCell="C36" sqref="C36"/>
    </sheetView>
  </sheetViews>
  <sheetFormatPr defaultColWidth="8.85546875" defaultRowHeight="12.75"/>
  <cols>
    <col min="1" max="1" width="25.42578125" customWidth="1"/>
    <col min="2" max="2" width="14" customWidth="1"/>
    <col min="3" max="3" width="78.140625" customWidth="1"/>
  </cols>
  <sheetData>
    <row r="1" spans="1:5">
      <c r="A1" s="14" t="s">
        <v>11</v>
      </c>
      <c r="B1" s="14" t="s">
        <v>2</v>
      </c>
      <c r="C1" s="14" t="s">
        <v>79</v>
      </c>
      <c r="D1" s="15" t="s">
        <v>0</v>
      </c>
      <c r="E1" s="16" t="s">
        <v>1</v>
      </c>
    </row>
    <row r="2" spans="1:5">
      <c r="A2" s="9" t="s">
        <v>85</v>
      </c>
      <c r="B2" s="9"/>
      <c r="C2" s="14" t="s">
        <v>116</v>
      </c>
      <c r="D2" s="7" t="s">
        <v>12</v>
      </c>
      <c r="E2" s="7"/>
    </row>
    <row r="3" spans="1:5">
      <c r="A3" s="9"/>
      <c r="B3" s="9" t="s">
        <v>96</v>
      </c>
      <c r="C3" s="9" t="s">
        <v>115</v>
      </c>
      <c r="D3" s="7" t="s">
        <v>12</v>
      </c>
      <c r="E3" s="7" t="s">
        <v>81</v>
      </c>
    </row>
    <row r="4" spans="1:5">
      <c r="A4" s="9"/>
      <c r="B4" s="9" t="s">
        <v>108</v>
      </c>
      <c r="C4" s="9" t="s">
        <v>117</v>
      </c>
      <c r="D4" s="7" t="s">
        <v>13</v>
      </c>
      <c r="E4" s="7" t="s">
        <v>81</v>
      </c>
    </row>
    <row r="5" spans="1:5">
      <c r="A5" s="9"/>
      <c r="B5" s="9" t="s">
        <v>97</v>
      </c>
      <c r="C5" s="9" t="s">
        <v>118</v>
      </c>
      <c r="D5" s="7" t="s">
        <v>12</v>
      </c>
      <c r="E5" s="7" t="s">
        <v>81</v>
      </c>
    </row>
    <row r="6" spans="1:5">
      <c r="A6" s="9"/>
      <c r="B6" s="9"/>
      <c r="C6" s="9" t="s">
        <v>119</v>
      </c>
      <c r="D6" s="7" t="s">
        <v>12</v>
      </c>
      <c r="E6" s="7"/>
    </row>
    <row r="7" spans="1:5">
      <c r="A7" s="8" t="s">
        <v>92</v>
      </c>
      <c r="B7" s="9" t="s">
        <v>91</v>
      </c>
      <c r="C7" s="9" t="s">
        <v>120</v>
      </c>
      <c r="D7" s="7" t="s">
        <v>12</v>
      </c>
      <c r="E7" s="7" t="s">
        <v>81</v>
      </c>
    </row>
    <row r="8" spans="1:5">
      <c r="A8" s="8"/>
      <c r="B8" s="9" t="s">
        <v>105</v>
      </c>
      <c r="C8" s="9" t="s">
        <v>121</v>
      </c>
      <c r="D8" s="7" t="s">
        <v>12</v>
      </c>
      <c r="E8" s="7" t="s">
        <v>81</v>
      </c>
    </row>
    <row r="9" spans="1:5">
      <c r="A9" s="9" t="s">
        <v>82</v>
      </c>
      <c r="B9" s="9" t="s">
        <v>80</v>
      </c>
      <c r="C9" s="9" t="s">
        <v>122</v>
      </c>
      <c r="D9" s="7" t="s">
        <v>12</v>
      </c>
      <c r="E9" s="7" t="s">
        <v>81</v>
      </c>
    </row>
    <row r="10" spans="1:5">
      <c r="A10" s="9"/>
      <c r="B10" s="9" t="s">
        <v>148</v>
      </c>
      <c r="C10" s="9" t="s">
        <v>150</v>
      </c>
      <c r="D10" s="7" t="s">
        <v>13</v>
      </c>
      <c r="E10" s="7" t="s">
        <v>81</v>
      </c>
    </row>
    <row r="11" spans="1:5">
      <c r="A11" s="9"/>
      <c r="B11" s="9" t="s">
        <v>149</v>
      </c>
      <c r="C11" s="9" t="s">
        <v>151</v>
      </c>
      <c r="D11" s="7" t="s">
        <v>12</v>
      </c>
      <c r="E11" s="7" t="s">
        <v>81</v>
      </c>
    </row>
    <row r="12" spans="1:5">
      <c r="A12" s="9"/>
      <c r="B12" s="9" t="s">
        <v>98</v>
      </c>
      <c r="C12" s="9" t="s">
        <v>123</v>
      </c>
      <c r="D12" s="7" t="s">
        <v>12</v>
      </c>
      <c r="E12" s="7" t="s">
        <v>81</v>
      </c>
    </row>
    <row r="13" spans="1:5">
      <c r="A13" s="9"/>
      <c r="B13" s="9" t="s">
        <v>99</v>
      </c>
      <c r="C13" s="9" t="s">
        <v>124</v>
      </c>
      <c r="D13" s="7" t="s">
        <v>12</v>
      </c>
      <c r="E13" s="7" t="s">
        <v>81</v>
      </c>
    </row>
    <row r="14" spans="1:5">
      <c r="A14" s="9" t="s">
        <v>104</v>
      </c>
      <c r="B14" s="9" t="s">
        <v>107</v>
      </c>
      <c r="C14" s="9" t="s">
        <v>125</v>
      </c>
      <c r="D14" s="7" t="s">
        <v>12</v>
      </c>
      <c r="E14" s="7" t="s">
        <v>81</v>
      </c>
    </row>
    <row r="15" spans="1:5">
      <c r="A15" s="8"/>
      <c r="B15" s="9" t="s">
        <v>90</v>
      </c>
      <c r="C15" s="9" t="s">
        <v>126</v>
      </c>
      <c r="D15" s="7" t="s">
        <v>12</v>
      </c>
      <c r="E15" s="7" t="s">
        <v>81</v>
      </c>
    </row>
    <row r="16" spans="1:5">
      <c r="A16" s="8"/>
      <c r="B16" s="9" t="s">
        <v>100</v>
      </c>
      <c r="C16" s="9" t="s">
        <v>127</v>
      </c>
      <c r="D16" s="7" t="s">
        <v>12</v>
      </c>
      <c r="E16" s="7" t="s">
        <v>81</v>
      </c>
    </row>
    <row r="17" spans="1:5">
      <c r="A17" s="8"/>
      <c r="B17" s="9" t="s">
        <v>87</v>
      </c>
      <c r="C17" s="9" t="s">
        <v>128</v>
      </c>
      <c r="D17" s="7" t="s">
        <v>12</v>
      </c>
      <c r="E17" s="7" t="s">
        <v>81</v>
      </c>
    </row>
    <row r="18" spans="1:5">
      <c r="A18" s="9"/>
      <c r="B18" s="9" t="s">
        <v>95</v>
      </c>
      <c r="C18" s="9" t="s">
        <v>144</v>
      </c>
      <c r="D18" s="7" t="s">
        <v>12</v>
      </c>
      <c r="E18" s="7" t="s">
        <v>81</v>
      </c>
    </row>
    <row r="19" spans="1:5">
      <c r="A19" s="9" t="s">
        <v>84</v>
      </c>
      <c r="B19" s="9" t="s">
        <v>83</v>
      </c>
      <c r="C19" s="9" t="s">
        <v>129</v>
      </c>
      <c r="D19" s="7" t="s">
        <v>12</v>
      </c>
      <c r="E19" s="7" t="s">
        <v>81</v>
      </c>
    </row>
    <row r="20" spans="1:5">
      <c r="A20" s="9" t="s">
        <v>101</v>
      </c>
      <c r="B20" s="9"/>
      <c r="C20" s="9" t="s">
        <v>130</v>
      </c>
      <c r="D20" s="7" t="s">
        <v>13</v>
      </c>
      <c r="E20" s="7" t="s">
        <v>102</v>
      </c>
    </row>
    <row r="21" spans="1:5">
      <c r="A21" s="9"/>
      <c r="B21" s="9" t="s">
        <v>94</v>
      </c>
      <c r="C21" s="9" t="s">
        <v>131</v>
      </c>
      <c r="D21" s="7" t="s">
        <v>12</v>
      </c>
      <c r="E21" s="7" t="s">
        <v>81</v>
      </c>
    </row>
    <row r="22" spans="1:5">
      <c r="A22" s="8" t="s">
        <v>86</v>
      </c>
      <c r="B22" s="9"/>
      <c r="C22" s="9" t="s">
        <v>132</v>
      </c>
      <c r="D22" s="4" t="s">
        <v>12</v>
      </c>
      <c r="E22" s="7"/>
    </row>
    <row r="23" spans="1:5">
      <c r="A23" s="8"/>
      <c r="B23" s="9" t="s">
        <v>106</v>
      </c>
      <c r="C23" s="9" t="s">
        <v>133</v>
      </c>
      <c r="D23" s="4" t="s">
        <v>13</v>
      </c>
      <c r="E23" s="7" t="s">
        <v>81</v>
      </c>
    </row>
    <row r="24" spans="1:5">
      <c r="A24" s="12" t="s">
        <v>82</v>
      </c>
      <c r="B24" s="9" t="s">
        <v>89</v>
      </c>
      <c r="C24" s="9" t="s">
        <v>134</v>
      </c>
      <c r="D24" s="7" t="s">
        <v>12</v>
      </c>
      <c r="E24" s="7" t="s">
        <v>81</v>
      </c>
    </row>
    <row r="25" spans="1:5">
      <c r="A25" s="8" t="s">
        <v>88</v>
      </c>
      <c r="B25" s="9"/>
      <c r="C25" s="9" t="s">
        <v>135</v>
      </c>
      <c r="D25" s="7" t="s">
        <v>12</v>
      </c>
      <c r="E25" s="7"/>
    </row>
    <row r="26" spans="1:5">
      <c r="A26" s="8"/>
      <c r="B26" s="9" t="s">
        <v>93</v>
      </c>
      <c r="C26" s="9" t="s">
        <v>136</v>
      </c>
      <c r="D26" s="7" t="s">
        <v>12</v>
      </c>
      <c r="E26" s="7" t="s">
        <v>81</v>
      </c>
    </row>
    <row r="27" spans="1:5">
      <c r="A27" s="12" t="s">
        <v>103</v>
      </c>
      <c r="B27" s="9"/>
      <c r="C27" s="9" t="s">
        <v>137</v>
      </c>
      <c r="D27" s="7" t="s">
        <v>13</v>
      </c>
      <c r="E27" s="7" t="s">
        <v>102</v>
      </c>
    </row>
    <row r="28" spans="1:5">
      <c r="A28" s="9"/>
      <c r="B28" s="9" t="s">
        <v>109</v>
      </c>
      <c r="C28" s="9" t="s">
        <v>138</v>
      </c>
      <c r="D28" s="4" t="s">
        <v>12</v>
      </c>
      <c r="E28" s="7" t="s">
        <v>81</v>
      </c>
    </row>
    <row r="29" spans="1:5">
      <c r="A29" s="33"/>
      <c r="B29" s="9" t="s">
        <v>110</v>
      </c>
      <c r="C29" s="9" t="s">
        <v>139</v>
      </c>
      <c r="D29" s="7" t="s">
        <v>12</v>
      </c>
      <c r="E29" s="7" t="s">
        <v>81</v>
      </c>
    </row>
    <row r="30" spans="1:5">
      <c r="A30" s="9"/>
      <c r="B30" s="9" t="s">
        <v>155</v>
      </c>
      <c r="C30" s="9" t="s">
        <v>140</v>
      </c>
      <c r="D30" s="7" t="s">
        <v>12</v>
      </c>
      <c r="E30" s="7" t="s">
        <v>81</v>
      </c>
    </row>
    <row r="31" spans="1:5">
      <c r="A31" s="9"/>
      <c r="B31" s="9" t="s">
        <v>114</v>
      </c>
      <c r="C31" s="9" t="s">
        <v>141</v>
      </c>
      <c r="D31" s="7" t="s">
        <v>12</v>
      </c>
      <c r="E31" s="7" t="s">
        <v>81</v>
      </c>
    </row>
    <row r="32" spans="1:5">
      <c r="A32" s="9" t="s">
        <v>112</v>
      </c>
      <c r="B32" s="9" t="s">
        <v>113</v>
      </c>
      <c r="C32" s="9" t="s">
        <v>143</v>
      </c>
      <c r="D32" s="7" t="s">
        <v>12</v>
      </c>
      <c r="E32" s="7" t="s">
        <v>81</v>
      </c>
    </row>
    <row r="33" spans="1:5">
      <c r="A33" s="9" t="s">
        <v>111</v>
      </c>
      <c r="B33" s="9" t="s">
        <v>152</v>
      </c>
      <c r="C33" s="9" t="s">
        <v>142</v>
      </c>
      <c r="D33" s="7" t="s">
        <v>12</v>
      </c>
      <c r="E33" s="7" t="s">
        <v>81</v>
      </c>
    </row>
    <row r="34" spans="1:5">
      <c r="A34" s="9"/>
      <c r="B34" s="9" t="s">
        <v>145</v>
      </c>
      <c r="C34" s="9" t="s">
        <v>147</v>
      </c>
      <c r="D34" s="7" t="s">
        <v>146</v>
      </c>
      <c r="E34" s="7" t="s">
        <v>81</v>
      </c>
    </row>
    <row r="35" spans="1:5">
      <c r="A35" s="9"/>
      <c r="B35" s="9" t="s">
        <v>154</v>
      </c>
      <c r="C35" s="9" t="s">
        <v>153</v>
      </c>
      <c r="D35" s="7" t="s">
        <v>12</v>
      </c>
      <c r="E35" s="7" t="s">
        <v>81</v>
      </c>
    </row>
    <row r="36" spans="1:5">
      <c r="A36" s="9" t="s">
        <v>156</v>
      </c>
      <c r="B36" s="9" t="s">
        <v>157</v>
      </c>
      <c r="C36" s="9" t="s">
        <v>158</v>
      </c>
      <c r="D36" s="7" t="s">
        <v>12</v>
      </c>
      <c r="E36" s="7" t="s">
        <v>81</v>
      </c>
    </row>
    <row r="37" spans="1:5">
      <c r="A37" s="9"/>
      <c r="B37" s="8" t="s">
        <v>191</v>
      </c>
      <c r="C37" s="9" t="s">
        <v>159</v>
      </c>
      <c r="D37" s="7" t="s">
        <v>12</v>
      </c>
      <c r="E37" s="7"/>
    </row>
    <row r="38" spans="1:5">
      <c r="A38" s="8"/>
      <c r="B38" s="9"/>
      <c r="C38" s="9" t="s">
        <v>161</v>
      </c>
      <c r="D38" s="7" t="s">
        <v>12</v>
      </c>
      <c r="E38" s="7"/>
    </row>
    <row r="39" spans="1:5">
      <c r="A39" s="9" t="s">
        <v>160</v>
      </c>
      <c r="B39" s="9"/>
      <c r="C39" s="9" t="s">
        <v>162</v>
      </c>
      <c r="D39" s="7" t="s">
        <v>12</v>
      </c>
      <c r="E39" s="7"/>
    </row>
    <row r="40" spans="1:5">
      <c r="A40" s="8"/>
      <c r="B40" s="9" t="s">
        <v>173</v>
      </c>
      <c r="C40" s="9" t="s">
        <v>163</v>
      </c>
      <c r="D40" s="7" t="s">
        <v>12</v>
      </c>
      <c r="E40" s="7" t="s">
        <v>81</v>
      </c>
    </row>
    <row r="41" spans="1:5">
      <c r="A41" s="9"/>
      <c r="B41" s="9" t="s">
        <v>180</v>
      </c>
      <c r="C41" s="9" t="s">
        <v>172</v>
      </c>
      <c r="D41" s="7" t="s">
        <v>12</v>
      </c>
      <c r="E41" s="7" t="s">
        <v>81</v>
      </c>
    </row>
    <row r="42" spans="1:5">
      <c r="A42" s="9"/>
      <c r="B42" s="9"/>
      <c r="C42" s="9" t="s">
        <v>165</v>
      </c>
      <c r="D42" s="7" t="s">
        <v>12</v>
      </c>
      <c r="E42" s="7"/>
    </row>
    <row r="43" spans="1:5">
      <c r="A43" s="8"/>
      <c r="B43" s="39"/>
      <c r="C43" s="9" t="s">
        <v>171</v>
      </c>
      <c r="D43" s="7" t="s">
        <v>12</v>
      </c>
      <c r="E43" s="7"/>
    </row>
    <row r="44" spans="1:5">
      <c r="A44" s="8" t="s">
        <v>164</v>
      </c>
      <c r="B44" s="9" t="s">
        <v>174</v>
      </c>
      <c r="C44" s="9" t="s">
        <v>167</v>
      </c>
      <c r="D44" s="7" t="s">
        <v>13</v>
      </c>
      <c r="E44" s="7" t="s">
        <v>81</v>
      </c>
    </row>
    <row r="45" spans="1:5">
      <c r="A45" s="9"/>
      <c r="B45" s="9" t="s">
        <v>184</v>
      </c>
      <c r="C45" s="9" t="s">
        <v>166</v>
      </c>
      <c r="D45" s="7" t="s">
        <v>12</v>
      </c>
      <c r="E45" s="7"/>
    </row>
    <row r="46" spans="1:5">
      <c r="A46" s="8"/>
      <c r="B46" s="9" t="s">
        <v>192</v>
      </c>
      <c r="C46" s="9" t="s">
        <v>168</v>
      </c>
      <c r="D46" s="7" t="s">
        <v>12</v>
      </c>
      <c r="E46" s="7"/>
    </row>
    <row r="47" spans="1:5">
      <c r="A47" s="8"/>
      <c r="B47" s="9" t="s">
        <v>194</v>
      </c>
      <c r="C47" s="9" t="s">
        <v>169</v>
      </c>
      <c r="D47" s="7" t="s">
        <v>12</v>
      </c>
      <c r="E47" s="7"/>
    </row>
    <row r="48" spans="1:5">
      <c r="A48" s="8"/>
      <c r="B48" s="8" t="s">
        <v>188</v>
      </c>
      <c r="C48" s="9" t="s">
        <v>170</v>
      </c>
      <c r="D48" s="7" t="s">
        <v>12</v>
      </c>
      <c r="E48" s="7"/>
    </row>
    <row r="49" spans="1:5">
      <c r="A49" s="9"/>
      <c r="B49" s="9" t="s">
        <v>185</v>
      </c>
      <c r="C49" s="9" t="s">
        <v>176</v>
      </c>
      <c r="D49" s="7" t="s">
        <v>12</v>
      </c>
      <c r="E49" s="7"/>
    </row>
    <row r="50" spans="1:5">
      <c r="A50" s="9"/>
      <c r="B50" s="9" t="s">
        <v>186</v>
      </c>
      <c r="C50" s="9" t="s">
        <v>175</v>
      </c>
      <c r="D50" s="7" t="s">
        <v>12</v>
      </c>
      <c r="E50" s="7"/>
    </row>
    <row r="51" spans="1:5">
      <c r="A51" s="9"/>
      <c r="B51" s="9" t="s">
        <v>200</v>
      </c>
      <c r="C51" s="9" t="s">
        <v>177</v>
      </c>
      <c r="D51" s="7" t="s">
        <v>12</v>
      </c>
      <c r="E51" s="7"/>
    </row>
    <row r="52" spans="1:5">
      <c r="A52" s="9"/>
      <c r="B52" s="9" t="s">
        <v>187</v>
      </c>
      <c r="C52" s="9" t="s">
        <v>178</v>
      </c>
      <c r="D52" s="7" t="s">
        <v>12</v>
      </c>
      <c r="E52" s="7"/>
    </row>
    <row r="53" spans="1:5">
      <c r="A53" s="9"/>
      <c r="B53" s="8" t="s">
        <v>189</v>
      </c>
      <c r="C53" s="9" t="s">
        <v>179</v>
      </c>
      <c r="D53" s="7" t="s">
        <v>12</v>
      </c>
      <c r="E53" s="7"/>
    </row>
    <row r="54" spans="1:5">
      <c r="A54" s="9" t="s">
        <v>181</v>
      </c>
      <c r="B54" s="39" t="s">
        <v>190</v>
      </c>
      <c r="C54" s="9" t="s">
        <v>182</v>
      </c>
      <c r="D54" s="7" t="s">
        <v>12</v>
      </c>
      <c r="E54" s="7"/>
    </row>
    <row r="55" spans="1:5">
      <c r="A55" s="9"/>
      <c r="B55" s="8" t="s">
        <v>193</v>
      </c>
      <c r="C55" s="9" t="s">
        <v>183</v>
      </c>
      <c r="D55" s="7" t="s">
        <v>12</v>
      </c>
      <c r="E55" s="7"/>
    </row>
    <row r="56" spans="1:5">
      <c r="A56" s="8" t="s">
        <v>195</v>
      </c>
      <c r="B56" s="12" t="s">
        <v>199</v>
      </c>
      <c r="C56" s="9" t="s">
        <v>197</v>
      </c>
      <c r="D56" s="7" t="s">
        <v>12</v>
      </c>
      <c r="E56" s="7"/>
    </row>
    <row r="57" spans="1:5">
      <c r="A57" s="9"/>
      <c r="B57" s="9" t="s">
        <v>198</v>
      </c>
      <c r="C57" s="9" t="s">
        <v>196</v>
      </c>
      <c r="D57" s="7" t="s">
        <v>12</v>
      </c>
      <c r="E57" s="7"/>
    </row>
    <row r="58" spans="1:5">
      <c r="A58" s="9" t="s">
        <v>201</v>
      </c>
      <c r="B58" s="9"/>
      <c r="C58" s="9" t="s">
        <v>202</v>
      </c>
      <c r="D58" s="7" t="s">
        <v>12</v>
      </c>
      <c r="E58" s="7"/>
    </row>
    <row r="59" spans="1:5">
      <c r="A59" s="9"/>
      <c r="B59" s="9" t="s">
        <v>17</v>
      </c>
      <c r="C59" s="9" t="s">
        <v>18</v>
      </c>
      <c r="D59" s="7" t="s">
        <v>12</v>
      </c>
    </row>
    <row r="60" spans="1:5">
      <c r="A60" s="8" t="s">
        <v>19</v>
      </c>
      <c r="B60" s="9" t="s">
        <v>20</v>
      </c>
      <c r="C60" s="9" t="s">
        <v>21</v>
      </c>
      <c r="D60" s="6" t="s">
        <v>12</v>
      </c>
    </row>
    <row r="61" spans="1:5">
      <c r="A61" s="8" t="s">
        <v>22</v>
      </c>
      <c r="B61" s="9" t="s">
        <v>23</v>
      </c>
      <c r="C61" s="9" t="s">
        <v>24</v>
      </c>
      <c r="D61" s="4" t="s">
        <v>12</v>
      </c>
    </row>
    <row r="62" spans="1:5">
      <c r="A62" s="8"/>
      <c r="B62" s="9" t="s">
        <v>25</v>
      </c>
      <c r="C62" s="9" t="s">
        <v>26</v>
      </c>
      <c r="D62" s="7" t="s">
        <v>12</v>
      </c>
    </row>
    <row r="63" spans="1:5">
      <c r="A63" s="38" t="s">
        <v>27</v>
      </c>
      <c r="B63" s="36" t="s">
        <v>28</v>
      </c>
      <c r="C63" s="36" t="s">
        <v>29</v>
      </c>
      <c r="D63" s="37" t="s">
        <v>13</v>
      </c>
    </row>
    <row r="64" spans="1:5">
      <c r="A64" s="9" t="s">
        <v>30</v>
      </c>
      <c r="B64" s="9" t="s">
        <v>31</v>
      </c>
      <c r="C64" s="9" t="s">
        <v>32</v>
      </c>
      <c r="D64" s="7" t="s">
        <v>12</v>
      </c>
    </row>
    <row r="65" spans="1:4">
      <c r="A65" s="8"/>
      <c r="B65" s="9"/>
      <c r="C65" s="9" t="s">
        <v>33</v>
      </c>
      <c r="D65" s="7" t="s">
        <v>12</v>
      </c>
    </row>
    <row r="66" spans="1:4">
      <c r="A66" s="8"/>
      <c r="B66" s="9"/>
      <c r="C66" s="9" t="s">
        <v>34</v>
      </c>
      <c r="D66" s="7" t="s">
        <v>12</v>
      </c>
    </row>
    <row r="67" spans="1:4">
      <c r="A67" s="8" t="s">
        <v>35</v>
      </c>
      <c r="B67" s="9" t="s">
        <v>36</v>
      </c>
      <c r="C67" s="9" t="s">
        <v>37</v>
      </c>
      <c r="D67" s="7" t="s">
        <v>12</v>
      </c>
    </row>
    <row r="68" spans="1:4">
      <c r="A68" s="8" t="s">
        <v>38</v>
      </c>
      <c r="B68" s="9" t="s">
        <v>39</v>
      </c>
      <c r="C68" s="9" t="s">
        <v>40</v>
      </c>
      <c r="D68" s="7" t="s">
        <v>12</v>
      </c>
    </row>
    <row r="69" spans="1:4">
      <c r="A69" s="8"/>
      <c r="B69" s="12"/>
      <c r="C69" s="9" t="s">
        <v>41</v>
      </c>
      <c r="D69" s="7" t="s">
        <v>12</v>
      </c>
    </row>
    <row r="70" spans="1:4">
      <c r="A70" s="8"/>
      <c r="B70" s="9" t="s">
        <v>42</v>
      </c>
      <c r="C70" s="9" t="s">
        <v>43</v>
      </c>
      <c r="D70" s="7" t="s">
        <v>13</v>
      </c>
    </row>
    <row r="71" spans="1:4">
      <c r="A71" s="8"/>
      <c r="B71" s="9" t="s">
        <v>44</v>
      </c>
      <c r="C71" s="9" t="s">
        <v>45</v>
      </c>
      <c r="D71" s="7" t="s">
        <v>12</v>
      </c>
    </row>
    <row r="72" spans="1:4">
      <c r="A72" s="9" t="s">
        <v>46</v>
      </c>
      <c r="B72" s="9" t="s">
        <v>47</v>
      </c>
      <c r="C72" s="9" t="s">
        <v>48</v>
      </c>
      <c r="D72" s="7" t="s">
        <v>12</v>
      </c>
    </row>
    <row r="73" spans="1:4">
      <c r="A73" s="8"/>
      <c r="B73" s="9"/>
      <c r="C73" s="9" t="s">
        <v>49</v>
      </c>
      <c r="D73" s="7" t="s">
        <v>12</v>
      </c>
    </row>
    <row r="74" spans="1:4">
      <c r="A74" s="9"/>
      <c r="B74" s="9"/>
      <c r="C74" s="9" t="s">
        <v>50</v>
      </c>
      <c r="D74" s="6" t="s">
        <v>12</v>
      </c>
    </row>
    <row r="75" spans="1:4">
      <c r="A75" s="9"/>
      <c r="B75" s="9"/>
      <c r="C75" s="9" t="s">
        <v>50</v>
      </c>
      <c r="D75" s="6" t="s">
        <v>12</v>
      </c>
    </row>
    <row r="76" spans="1:4">
      <c r="A76" s="9"/>
      <c r="B76" s="9" t="s">
        <v>51</v>
      </c>
      <c r="C76" s="7" t="s">
        <v>52</v>
      </c>
      <c r="D76" s="7" t="s">
        <v>12</v>
      </c>
    </row>
    <row r="77" spans="1:4">
      <c r="A77" s="9" t="s">
        <v>53</v>
      </c>
      <c r="B77" s="9" t="s">
        <v>54</v>
      </c>
      <c r="C77" s="9" t="s">
        <v>55</v>
      </c>
      <c r="D77" s="7" t="s">
        <v>12</v>
      </c>
    </row>
    <row r="78" spans="1:4">
      <c r="A78" s="9" t="s">
        <v>56</v>
      </c>
      <c r="B78" s="9" t="s">
        <v>57</v>
      </c>
      <c r="C78" s="9" t="s">
        <v>58</v>
      </c>
      <c r="D78" s="7" t="s">
        <v>12</v>
      </c>
    </row>
    <row r="79" spans="1:4">
      <c r="A79" s="9"/>
      <c r="B79" s="9" t="s">
        <v>59</v>
      </c>
      <c r="C79" s="9" t="s">
        <v>60</v>
      </c>
      <c r="D79" s="7" t="s">
        <v>14</v>
      </c>
    </row>
    <row r="80" spans="1:4">
      <c r="A80" s="8"/>
      <c r="B80" s="9"/>
      <c r="C80" s="9" t="s">
        <v>61</v>
      </c>
      <c r="D80" s="7" t="s">
        <v>16</v>
      </c>
    </row>
    <row r="81" spans="1:4">
      <c r="A81" s="8"/>
      <c r="B81" s="9" t="s">
        <v>62</v>
      </c>
      <c r="C81" s="9" t="s">
        <v>63</v>
      </c>
      <c r="D81" s="6" t="s">
        <v>12</v>
      </c>
    </row>
    <row r="82" spans="1:4">
      <c r="A82" s="9"/>
      <c r="B82" s="9" t="s">
        <v>64</v>
      </c>
      <c r="C82" s="9" t="s">
        <v>65</v>
      </c>
      <c r="D82" s="6" t="s">
        <v>12</v>
      </c>
    </row>
    <row r="83" spans="1:4">
      <c r="A83" s="9"/>
      <c r="B83" s="9"/>
      <c r="C83" s="9" t="s">
        <v>66</v>
      </c>
      <c r="D83" s="6" t="s">
        <v>12</v>
      </c>
    </row>
    <row r="84" spans="1:4">
      <c r="A84" s="8"/>
      <c r="B84" s="9"/>
      <c r="C84" s="9" t="s">
        <v>66</v>
      </c>
      <c r="D84" s="6" t="s">
        <v>12</v>
      </c>
    </row>
    <row r="85" spans="1:4">
      <c r="A85" s="8"/>
      <c r="B85" s="9" t="s">
        <v>67</v>
      </c>
      <c r="C85" s="9" t="s">
        <v>68</v>
      </c>
      <c r="D85" s="6" t="s">
        <v>12</v>
      </c>
    </row>
    <row r="86" spans="1:4">
      <c r="A86" s="9"/>
      <c r="B86" s="9" t="s">
        <v>69</v>
      </c>
      <c r="C86" s="11" t="s">
        <v>70</v>
      </c>
      <c r="D86" s="6" t="s">
        <v>12</v>
      </c>
    </row>
    <row r="87" spans="1:4">
      <c r="A87" s="8"/>
      <c r="B87" s="9" t="s">
        <v>71</v>
      </c>
      <c r="C87" s="9" t="s">
        <v>72</v>
      </c>
      <c r="D87" s="6" t="s">
        <v>13</v>
      </c>
    </row>
    <row r="88" spans="1:4">
      <c r="A88" s="38" t="s">
        <v>73</v>
      </c>
      <c r="B88" s="36" t="s">
        <v>74</v>
      </c>
      <c r="C88" s="36" t="s">
        <v>75</v>
      </c>
      <c r="D88" s="37" t="s">
        <v>14</v>
      </c>
    </row>
    <row r="89" spans="1:4">
      <c r="A89" s="36" t="s">
        <v>76</v>
      </c>
      <c r="B89" s="36" t="s">
        <v>77</v>
      </c>
      <c r="C89" s="36" t="s">
        <v>78</v>
      </c>
      <c r="D89" s="37" t="s">
        <v>12</v>
      </c>
    </row>
    <row r="90" spans="1:4">
      <c r="A90" s="11"/>
      <c r="B90" s="9"/>
      <c r="C90" s="11"/>
      <c r="D90" s="6" t="s">
        <v>12</v>
      </c>
    </row>
    <row r="91" spans="1:4">
      <c r="A91" s="8"/>
      <c r="C91" s="11"/>
      <c r="D91" s="1"/>
    </row>
    <row r="92" spans="1:4">
      <c r="A92" s="8"/>
      <c r="B92" s="9"/>
      <c r="C92" s="11"/>
      <c r="D92" s="6"/>
    </row>
    <row r="93" spans="1:4">
      <c r="A93" s="9"/>
      <c r="B93" s="9"/>
      <c r="C93" s="11"/>
      <c r="D93" s="6"/>
    </row>
    <row r="94" spans="1:4">
      <c r="A94" s="9"/>
      <c r="B94" s="9"/>
      <c r="C94" s="11"/>
      <c r="D94" s="6"/>
    </row>
    <row r="95" spans="1:4">
      <c r="A95" s="8"/>
      <c r="B95" s="9"/>
      <c r="C95" s="11"/>
      <c r="D95" s="6"/>
    </row>
    <row r="96" spans="1:4">
      <c r="A96" s="8"/>
      <c r="B96" s="9"/>
      <c r="C96" s="11"/>
      <c r="D96" s="6"/>
    </row>
    <row r="97" spans="1:4">
      <c r="A97" s="9"/>
      <c r="B97" s="9"/>
      <c r="C97" s="11"/>
      <c r="D97" s="6"/>
    </row>
    <row r="98" spans="1:4">
      <c r="A98" s="11"/>
      <c r="B98" s="9"/>
      <c r="C98" s="11"/>
      <c r="D98" s="6"/>
    </row>
    <row r="99" spans="1:4">
      <c r="A99" s="9"/>
      <c r="B99" s="9"/>
      <c r="C99" s="11"/>
      <c r="D99" s="6"/>
    </row>
    <row r="100" spans="1:4">
      <c r="A100" s="9"/>
      <c r="B100" s="9"/>
      <c r="C100" s="11"/>
      <c r="D100" s="6"/>
    </row>
    <row r="101" spans="1:4">
      <c r="A101" s="9"/>
      <c r="B101" s="23"/>
      <c r="C101" s="11"/>
      <c r="D101" s="6"/>
    </row>
    <row r="102" spans="1:4">
      <c r="A102" s="22"/>
      <c r="B102" s="23"/>
      <c r="C102" s="24"/>
      <c r="D102" s="6"/>
    </row>
    <row r="103" spans="1:4">
      <c r="A103" s="18"/>
      <c r="B103" s="19"/>
      <c r="C103" s="20"/>
      <c r="D103" s="6"/>
    </row>
    <row r="104" spans="1:4">
      <c r="A104" s="18"/>
      <c r="B104" s="19"/>
      <c r="C104" s="20"/>
      <c r="D104" s="6"/>
    </row>
    <row r="105" spans="1:4">
      <c r="A105" s="18"/>
      <c r="B105" s="19"/>
      <c r="C105" s="20"/>
      <c r="D105" s="6"/>
    </row>
    <row r="106" spans="1:4">
      <c r="A106" s="8"/>
      <c r="B106" s="9"/>
      <c r="C106" s="11"/>
      <c r="D106" s="6"/>
    </row>
    <row r="107" spans="1:4">
      <c r="A107" s="9"/>
      <c r="B107" s="9"/>
      <c r="C107" s="20"/>
      <c r="D107" s="6"/>
    </row>
    <row r="108" spans="1:4">
      <c r="A108" s="8"/>
      <c r="B108" s="9"/>
      <c r="C108" s="20"/>
      <c r="D108" s="6"/>
    </row>
    <row r="109" spans="1:4">
      <c r="A109" s="9"/>
      <c r="B109" s="9"/>
      <c r="C109" s="20"/>
      <c r="D109" s="1"/>
    </row>
    <row r="110" spans="1:4">
      <c r="A110" s="8"/>
      <c r="B110" s="9"/>
      <c r="C110" s="20"/>
      <c r="D110" s="6"/>
    </row>
    <row r="111" spans="1:4">
      <c r="A111" s="8"/>
      <c r="B111" s="9"/>
      <c r="C111" s="20"/>
      <c r="D111" s="6"/>
    </row>
    <row r="112" spans="1:4">
      <c r="A112" s="8"/>
      <c r="B112" s="9"/>
      <c r="C112" s="20"/>
      <c r="D112" s="1"/>
    </row>
    <row r="113" spans="1:4">
      <c r="A113" s="8"/>
      <c r="B113" s="9"/>
      <c r="C113" s="20"/>
      <c r="D113" s="1"/>
    </row>
    <row r="114" spans="1:4">
      <c r="A114" s="9"/>
      <c r="B114" s="9"/>
      <c r="C114" s="11"/>
      <c r="D114" s="6"/>
    </row>
    <row r="115" spans="1:4">
      <c r="A115" s="9"/>
      <c r="B115" s="9"/>
      <c r="C115" s="20"/>
      <c r="D115" s="6"/>
    </row>
  </sheetData>
  <conditionalFormatting sqref="B2:B108">
    <cfRule type="duplicateValues" dxfId="6" priority="7"/>
  </conditionalFormatting>
  <conditionalFormatting sqref="B2 B4:B33 B35:B51 B92:B115 B53:B90">
    <cfRule type="duplicateValues" dxfId="5" priority="6"/>
  </conditionalFormatting>
  <conditionalFormatting sqref="B2:B115">
    <cfRule type="duplicateValues" dxfId="4" priority="5"/>
  </conditionalFormatting>
  <conditionalFormatting sqref="B2 B35:B51 B4:B33 B53:B90">
    <cfRule type="duplicateValues" dxfId="3" priority="4"/>
  </conditionalFormatting>
  <conditionalFormatting sqref="B2:B90">
    <cfRule type="duplicateValues" dxfId="2" priority="3"/>
  </conditionalFormatting>
  <conditionalFormatting sqref="B47:B58 B1:B8 B15:B45">
    <cfRule type="duplicateValues" dxfId="1" priority="2"/>
  </conditionalFormatting>
  <conditionalFormatting sqref="B1:B58">
    <cfRule type="duplicateValues" dxfId="0" priority="1"/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selection activeCell="C32" sqref="C32"/>
    </sheetView>
  </sheetViews>
  <sheetFormatPr defaultColWidth="8.85546875" defaultRowHeight="12.75"/>
  <cols>
    <col min="2" max="2" width="17.28515625" customWidth="1"/>
    <col min="3" max="3" width="50.28515625" customWidth="1"/>
    <col min="4" max="4" width="22.7109375" customWidth="1"/>
  </cols>
  <sheetData>
    <row r="1" spans="1:5">
      <c r="A1" t="s">
        <v>8</v>
      </c>
    </row>
    <row r="2" spans="1:5">
      <c r="A2" s="11" t="s">
        <v>10</v>
      </c>
    </row>
    <row r="3" spans="1:5" s="13" customFormat="1" ht="13.5" thickBot="1">
      <c r="A3" s="13" t="s">
        <v>9</v>
      </c>
    </row>
    <row r="4" spans="1: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2015-2016</vt:lpstr>
      <vt:lpstr>Last Years Boys</vt:lpstr>
      <vt:lpstr>Lost Boys</vt:lpstr>
      <vt:lpstr>Male Plot</vt:lpstr>
    </vt:vector>
  </TitlesOfParts>
  <Company>Natural Environment Research Council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Warren</dc:creator>
  <cp:lastModifiedBy>localadmin</cp:lastModifiedBy>
  <cp:lastPrinted>2016-12-06T14:35:53Z</cp:lastPrinted>
  <dcterms:created xsi:type="dcterms:W3CDTF">2003-11-01T10:38:06Z</dcterms:created>
  <dcterms:modified xsi:type="dcterms:W3CDTF">2018-04-19T11:56:37Z</dcterms:modified>
</cp:coreProperties>
</file>