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0225"/>
  <workbookPr autoCompressPictures="0"/>
  <bookViews>
    <workbookView xWindow="0" yWindow="0" windowWidth="28800" windowHeight="17560" tabRatio="601" activeTab="2"/>
  </bookViews>
  <sheets>
    <sheet name="2017-2018" sheetId="5" r:id="rId1"/>
    <sheet name="Male Plot" sheetId="7" r:id="rId2"/>
    <sheet name="Last Years Boys" sheetId="6" r:id="rId3"/>
  </sheets>
  <definedNames>
    <definedName name="_xlnm._FilterDatabase" localSheetId="0" hidden="1">'2017-2018'!$C$1:$D$296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L1" i="5" l="1"/>
  <c r="AK1" i="5"/>
  <c r="R1" i="5"/>
  <c r="Q1" i="5"/>
  <c r="P1" i="5"/>
  <c r="I1" i="5"/>
  <c r="J1" i="5"/>
  <c r="K1" i="5"/>
  <c r="L1" i="5"/>
  <c r="M1" i="5"/>
  <c r="N1" i="5"/>
  <c r="O1" i="5"/>
  <c r="S1" i="5"/>
  <c r="T1" i="5"/>
  <c r="U1" i="5"/>
  <c r="V1" i="5"/>
  <c r="W1" i="5"/>
  <c r="X1" i="5"/>
  <c r="Y1" i="5"/>
  <c r="Z1" i="5"/>
  <c r="AA1" i="5"/>
  <c r="AB1" i="5"/>
  <c r="AC1" i="5"/>
  <c r="AD1" i="5"/>
  <c r="AE1" i="5"/>
  <c r="AF1" i="5"/>
  <c r="AG1" i="5"/>
  <c r="AH1" i="5"/>
  <c r="AI1" i="5"/>
  <c r="AJ1" i="5"/>
  <c r="AM1" i="5"/>
  <c r="AN1" i="5"/>
  <c r="AO1" i="5"/>
  <c r="AP1" i="5"/>
  <c r="AQ1" i="5"/>
  <c r="AR1" i="5"/>
  <c r="AS1" i="5"/>
  <c r="AT1" i="5"/>
  <c r="AU1" i="5"/>
  <c r="AV1" i="5"/>
  <c r="AW1" i="5"/>
  <c r="AX1" i="5"/>
  <c r="AY1" i="5"/>
  <c r="AZ1" i="5"/>
  <c r="BA1" i="5"/>
  <c r="BB1" i="5"/>
  <c r="BC1" i="5"/>
  <c r="BD1" i="5"/>
  <c r="BE1" i="5"/>
  <c r="BF1" i="5"/>
  <c r="BG1" i="5"/>
  <c r="BH1" i="5"/>
  <c r="BI1" i="5"/>
  <c r="BJ1" i="5"/>
  <c r="BK1" i="5"/>
  <c r="BL1" i="5"/>
  <c r="BM1" i="5"/>
  <c r="BN1" i="5"/>
  <c r="BO1" i="5"/>
  <c r="H1" i="5"/>
  <c r="G1" i="5"/>
  <c r="CX296" i="5"/>
  <c r="CW296" i="5"/>
  <c r="CV296" i="5"/>
  <c r="CU296" i="5"/>
  <c r="CT296" i="5"/>
  <c r="CS296" i="5"/>
  <c r="CR296" i="5"/>
  <c r="CQ296" i="5"/>
  <c r="CP296" i="5"/>
  <c r="CO296" i="5"/>
  <c r="CN296" i="5"/>
  <c r="CM296" i="5"/>
  <c r="CL296" i="5"/>
  <c r="CK296" i="5"/>
  <c r="CJ296" i="5"/>
  <c r="CI296" i="5"/>
  <c r="CH296" i="5"/>
  <c r="CG296" i="5"/>
</calcChain>
</file>

<file path=xl/sharedStrings.xml><?xml version="1.0" encoding="utf-8"?>
<sst xmlns="http://schemas.openxmlformats.org/spreadsheetml/2006/main" count="1655" uniqueCount="619">
  <si>
    <t>Tags</t>
  </si>
  <si>
    <t>Tissue Sampled</t>
  </si>
  <si>
    <t>Serial Number</t>
  </si>
  <si>
    <t>Old Paint/Comments</t>
  </si>
  <si>
    <t>-/-</t>
  </si>
  <si>
    <t>Total Males on Beach</t>
  </si>
  <si>
    <t>Name and paint marks</t>
  </si>
  <si>
    <t>PIT tag</t>
  </si>
  <si>
    <t>-</t>
  </si>
  <si>
    <t>Bread - Yellow dot between shoulders</t>
  </si>
  <si>
    <t>0205</t>
  </si>
  <si>
    <t>0206</t>
  </si>
  <si>
    <t>0216</t>
  </si>
  <si>
    <t>Bagel - Yellow on the rump</t>
  </si>
  <si>
    <t>1212</t>
  </si>
  <si>
    <t>Chapati - Yellow on the chest</t>
  </si>
  <si>
    <t>0210</t>
  </si>
  <si>
    <t>Orange on rump</t>
  </si>
  <si>
    <t>Lockheart - Pink bum on right</t>
  </si>
  <si>
    <t>Crab - light bluey green on right shoulder</t>
  </si>
  <si>
    <t>Goyle - light bluey green on left rump</t>
  </si>
  <si>
    <t>Bumblebee - yellow bum</t>
  </si>
  <si>
    <t>Shoulderpads - yellow left shoulder + pink right shoulder</t>
  </si>
  <si>
    <t>Cederic - light blue mid left back</t>
  </si>
  <si>
    <t>Tiger - Orange mid rump + orange mid shoulder stripe</t>
  </si>
  <si>
    <t>Ron - Orange chest good right mark - left faint</t>
  </si>
  <si>
    <t>George - Left shoulder orange and orange left rump</t>
  </si>
  <si>
    <t>Shrek - Lime green right rump</t>
  </si>
  <si>
    <t>Malfoy - Lime green right chest</t>
  </si>
  <si>
    <t>Dobby - Light blue bum (mid + right splodges)</t>
  </si>
  <si>
    <t>Snape - Lime left chest + left shoulder down back in light blue</t>
  </si>
  <si>
    <t>Turtle - Lime green shoulder blades + left back</t>
  </si>
  <si>
    <t>Pinky - Pink spot center of chest</t>
  </si>
  <si>
    <t>Brain - Pink left and right shoulders</t>
  </si>
  <si>
    <t>Rind - Yellow spots between shoulder blades, on rump and above left flipper</t>
  </si>
  <si>
    <t>Scaredycat - Lime left rump, mixed with orange</t>
  </si>
  <si>
    <t>Ravenclaw - Bright blue spot upper left chest</t>
  </si>
  <si>
    <t>Trump - Orange centre chest + above left flipper</t>
  </si>
  <si>
    <t>Tonk - 4 orange dots in a square. Blue in middle.</t>
  </si>
  <si>
    <t>Bluebottle -blue, orange, blue, orange, blue down spine</t>
  </si>
  <si>
    <t>Sirius - Pink on left chest, blue on rump</t>
  </si>
  <si>
    <t>Prettyboy - Pink and Blue on back, upper neck</t>
  </si>
  <si>
    <t>Wormtail - Blue above left flipper. Yellow left chest, up to mouth.</t>
  </si>
  <si>
    <t>Fluffy - Blue stripe on left side + yellow and blue spot on right shoulder</t>
  </si>
  <si>
    <t>Battenberg - Two pink spots and one yellow spot on back between shoulder blades</t>
  </si>
  <si>
    <t>Moody - Bad left eye and two orange dots, one blue dot right side of chest</t>
  </si>
  <si>
    <t>Sir Nick - Bad wound back of the neck. Blue stripe left rump, orange dot center rump</t>
  </si>
  <si>
    <t>Fairtrade - Lime green just below centre neck, and blue bum</t>
  </si>
  <si>
    <t>Creature - Yellow right chest, pink left chest</t>
  </si>
  <si>
    <t>Batman - Yellow spot on centre chest, pink spots above both front flippers</t>
  </si>
  <si>
    <t>Holey Moley - Lime green centre chest and Pink on right of chest</t>
  </si>
  <si>
    <t>Lucius - Orange left chest + Lime right bum</t>
  </si>
  <si>
    <t>Faux - Lime right chest + Orange right bum</t>
  </si>
  <si>
    <t>Lemon Lime - Yellow between shoulder blades, Lime rump</t>
  </si>
  <si>
    <t>Cumberdick bendybatch - Orange right chest, Blue left chest</t>
  </si>
  <si>
    <t>Fidget - yellow left chest</t>
  </si>
  <si>
    <t>Algae - Blue left shoulder + Green back</t>
  </si>
  <si>
    <t>Harry - Blue left rump + lime right rump</t>
  </si>
  <si>
    <t>Double bum - Pink and Blue on left Rump</t>
  </si>
  <si>
    <t>Kellog - Blue back head, Pink Chest</t>
  </si>
  <si>
    <t>Ladyboy - Pink between shoulder blades, blue on rump, small blue spot on bottom of chest</t>
  </si>
  <si>
    <t>Stripey - Blue stripe and patch on chest, pink on right shoulder</t>
  </si>
  <si>
    <t>Boxer blue bum - 3 blue dots on rump</t>
  </si>
  <si>
    <t>Dumbledore - Orange left bum, Pink right bum</t>
  </si>
  <si>
    <t>Hagrid - Orange and pink on left shoulder</t>
  </si>
  <si>
    <t>Hermione - Orange bum, Pink neck</t>
  </si>
  <si>
    <t>Lupin - 2 pink dots on chest, 1 lime on mid back</t>
  </si>
  <si>
    <t>Wimpy - Pink and lime on right chest</t>
  </si>
  <si>
    <t>Art - Blue on left bum. 2 x orange on left bum. Orange right shoulder</t>
  </si>
  <si>
    <t>Trio - 2 x orange on chest, with blue in between. Blue shoulder.</t>
  </si>
  <si>
    <t>Bruiser - Blue + orange neck</t>
  </si>
  <si>
    <t>Pink-eye - Pink behind right eye, around to neck</t>
  </si>
  <si>
    <t>Banana - yellow neck</t>
  </si>
  <si>
    <t>Pith - blue right bum, yellow neck</t>
  </si>
  <si>
    <t>BB8 - blue left mid, and blue left shoulder</t>
  </si>
  <si>
    <t>Gok - Pink right shoulder and left mid back</t>
  </si>
  <si>
    <t>DEAD - found in Wanderer stream. Lime mid shoulder. Blue right rump. Probably 'Fairtrade', serial: AGM16028</t>
  </si>
  <si>
    <t>Minion - Pink mid back, green left shoulder</t>
  </si>
  <si>
    <t>Yadal - Green bum with pink above</t>
  </si>
  <si>
    <t>Kat - Pink left shoulder and pink mid back</t>
  </si>
  <si>
    <t>Fin - Blue right shoulder + chest</t>
  </si>
  <si>
    <t>0407</t>
  </si>
  <si>
    <t>2712</t>
  </si>
  <si>
    <t>Orange - Orange left shoulder</t>
  </si>
  <si>
    <t>Fanta - Faint orange chest</t>
  </si>
  <si>
    <t>0406</t>
  </si>
  <si>
    <t>Unpainted male</t>
  </si>
  <si>
    <t>3212</t>
  </si>
  <si>
    <t>0313</t>
  </si>
  <si>
    <t>-0208</t>
  </si>
  <si>
    <t>0806</t>
  </si>
  <si>
    <t>Crepe - Orange rump</t>
  </si>
  <si>
    <t>0115</t>
  </si>
  <si>
    <t>AGM17001</t>
  </si>
  <si>
    <t>AGM17002</t>
  </si>
  <si>
    <t>0907</t>
  </si>
  <si>
    <t>0415A4E448</t>
  </si>
  <si>
    <t>AGM17003</t>
  </si>
  <si>
    <t>1907</t>
  </si>
  <si>
    <t>Y</t>
  </si>
  <si>
    <t>Plum - Four blue dot on the neck</t>
  </si>
  <si>
    <t>2610</t>
  </si>
  <si>
    <t>1910</t>
  </si>
  <si>
    <t>2206</t>
  </si>
  <si>
    <t>0804</t>
  </si>
  <si>
    <t>AGM17004</t>
  </si>
  <si>
    <t>AGM17005</t>
  </si>
  <si>
    <t>2511</t>
  </si>
  <si>
    <t>2809</t>
  </si>
  <si>
    <t>1308</t>
  </si>
  <si>
    <t>1410</t>
  </si>
  <si>
    <t>2409</t>
  </si>
  <si>
    <t>2808</t>
  </si>
  <si>
    <t>1012</t>
  </si>
  <si>
    <t>2509</t>
  </si>
  <si>
    <t>2908</t>
  </si>
  <si>
    <t>AGM17006</t>
  </si>
  <si>
    <t>Lemon - Yellow stripe on lower back and left rump</t>
  </si>
  <si>
    <t>0917</t>
  </si>
  <si>
    <t>1017</t>
  </si>
  <si>
    <t>Baguette - Yellow rump, blue between shoulders</t>
  </si>
  <si>
    <t>AGM17008</t>
  </si>
  <si>
    <t>AGM17007</t>
  </si>
  <si>
    <t>0702</t>
  </si>
  <si>
    <t>1110</t>
  </si>
  <si>
    <t>1510</t>
  </si>
  <si>
    <t>2207</t>
  </si>
  <si>
    <t>2912</t>
  </si>
  <si>
    <t>0906</t>
  </si>
  <si>
    <t>-0408</t>
  </si>
  <si>
    <t>1210</t>
  </si>
  <si>
    <t>2210</t>
  </si>
  <si>
    <t>1608</t>
  </si>
  <si>
    <t>1612</t>
  </si>
  <si>
    <t>2215</t>
  </si>
  <si>
    <t>AGM17010</t>
  </si>
  <si>
    <t>Old orange paint on the left shoulder.</t>
  </si>
  <si>
    <t>0415A4E472</t>
  </si>
  <si>
    <t>AGM17011</t>
  </si>
  <si>
    <t>Mashmallow - Green between shoulder and Blue on right rump</t>
  </si>
  <si>
    <t>Pumpkin - Orange on chest and 2 Blue dot between the shoulder</t>
  </si>
  <si>
    <t>Sprinkles - Yellow right flipper, Blue on chest</t>
  </si>
  <si>
    <t>TS/TS</t>
  </si>
  <si>
    <t>TH/TH</t>
  </si>
  <si>
    <t>04159E3074</t>
  </si>
  <si>
    <t>0607</t>
  </si>
  <si>
    <t>1710</t>
  </si>
  <si>
    <t>2410</t>
  </si>
  <si>
    <t>1408</t>
  </si>
  <si>
    <t>2116</t>
  </si>
  <si>
    <t>2216</t>
  </si>
  <si>
    <t>-0207</t>
  </si>
  <si>
    <t>2910</t>
  </si>
  <si>
    <t>2412</t>
  </si>
  <si>
    <t>1809</t>
  </si>
  <si>
    <t>0506</t>
  </si>
  <si>
    <t>0105</t>
  </si>
  <si>
    <t>Strawberry - Pink between shoulder</t>
  </si>
  <si>
    <t>0304</t>
  </si>
  <si>
    <t>1310</t>
  </si>
  <si>
    <t>1914</t>
  </si>
  <si>
    <t>2118</t>
  </si>
  <si>
    <t>3211</t>
  </si>
  <si>
    <t>2807</t>
  </si>
  <si>
    <t>AGM17012</t>
  </si>
  <si>
    <t>1913</t>
  </si>
  <si>
    <t>2214</t>
  </si>
  <si>
    <t>2212</t>
  </si>
  <si>
    <t>2811</t>
  </si>
  <si>
    <t>0807</t>
  </si>
  <si>
    <t>0404</t>
  </si>
  <si>
    <t>0204</t>
  </si>
  <si>
    <t>0310</t>
  </si>
  <si>
    <t>-0406</t>
  </si>
  <si>
    <t>1611</t>
  </si>
  <si>
    <t>2311</t>
  </si>
  <si>
    <t>2710</t>
  </si>
  <si>
    <t>AGM17013</t>
  </si>
  <si>
    <t>AGM17014</t>
  </si>
  <si>
    <t>04162E73BE</t>
  </si>
  <si>
    <t>Pineapple - Yellow on shoulder and Pink on the rump</t>
  </si>
  <si>
    <t>0507</t>
  </si>
  <si>
    <t>2417</t>
  </si>
  <si>
    <t>2716</t>
  </si>
  <si>
    <t>1504</t>
  </si>
  <si>
    <t>AGM17009 + AGM17015</t>
  </si>
  <si>
    <t>Pea - Pink on the shoulder and Yellow on the right rump</t>
  </si>
  <si>
    <t>0014</t>
  </si>
  <si>
    <t>2909</t>
  </si>
  <si>
    <t>1312</t>
  </si>
  <si>
    <t>2915</t>
  </si>
  <si>
    <t>0402</t>
  </si>
  <si>
    <t>0708</t>
  </si>
  <si>
    <t>AGM17015</t>
  </si>
  <si>
    <t>1016</t>
  </si>
  <si>
    <t>Bubblegome - Blue on rump, left and right shoulder and yellow on left shoulder</t>
  </si>
  <si>
    <t>0504</t>
  </si>
  <si>
    <t>0609</t>
  </si>
  <si>
    <t>0212</t>
  </si>
  <si>
    <t>0706</t>
  </si>
  <si>
    <t>1309</t>
  </si>
  <si>
    <t>1311</t>
  </si>
  <si>
    <t>1409</t>
  </si>
  <si>
    <t>2117</t>
  </si>
  <si>
    <t>2714</t>
  </si>
  <si>
    <t>3008</t>
  </si>
  <si>
    <t>AGM17017</t>
  </si>
  <si>
    <t>Icecream - Blue and Pink on the rump</t>
  </si>
  <si>
    <t>0908</t>
  </si>
  <si>
    <t>0707</t>
  </si>
  <si>
    <t>0509</t>
  </si>
  <si>
    <t>1108</t>
  </si>
  <si>
    <t>1211</t>
  </si>
  <si>
    <t>1015</t>
  </si>
  <si>
    <t>2715</t>
  </si>
  <si>
    <t>2312</t>
  </si>
  <si>
    <t>3108</t>
  </si>
  <si>
    <t>1214</t>
  </si>
  <si>
    <t>1216</t>
  </si>
  <si>
    <t>1811</t>
  </si>
  <si>
    <t>2810</t>
  </si>
  <si>
    <t>3009</t>
  </si>
  <si>
    <t>1007</t>
  </si>
  <si>
    <t>1813</t>
  </si>
  <si>
    <t>2317</t>
  </si>
  <si>
    <t>2018</t>
  </si>
  <si>
    <t>3622</t>
  </si>
  <si>
    <t>AGM17018</t>
  </si>
  <si>
    <t>Old orange on rump</t>
  </si>
  <si>
    <t>Apple - Blue on shoulder and Yellow on left and middle rump</t>
  </si>
  <si>
    <t>AGM17019</t>
  </si>
  <si>
    <t>-0214</t>
  </si>
  <si>
    <t>0709</t>
  </si>
  <si>
    <t>3207</t>
  </si>
  <si>
    <t>2017</t>
  </si>
  <si>
    <t>0510</t>
  </si>
  <si>
    <t>1115</t>
  </si>
  <si>
    <t>1111</t>
  </si>
  <si>
    <t>1714</t>
  </si>
  <si>
    <t>2812</t>
  </si>
  <si>
    <t>0311</t>
  </si>
  <si>
    <t>0909</t>
  </si>
  <si>
    <t>1209</t>
  </si>
  <si>
    <t>1112</t>
  </si>
  <si>
    <t>1709</t>
  </si>
  <si>
    <t>2208</t>
  </si>
  <si>
    <t>1918</t>
  </si>
  <si>
    <t>2217</t>
  </si>
  <si>
    <t>0413020E65</t>
  </si>
  <si>
    <t>AGM17020</t>
  </si>
  <si>
    <t>1213</t>
  </si>
  <si>
    <t>0711</t>
  </si>
  <si>
    <t>0813</t>
  </si>
  <si>
    <t>1009</t>
  </si>
  <si>
    <t>1917</t>
  </si>
  <si>
    <t>3418</t>
  </si>
  <si>
    <t>2211</t>
  </si>
  <si>
    <t>2316</t>
  </si>
  <si>
    <t>04130213F2</t>
  </si>
  <si>
    <t>04162E7C8E</t>
  </si>
  <si>
    <t>AGM17024</t>
  </si>
  <si>
    <t>AGM17025</t>
  </si>
  <si>
    <t>AGM17023</t>
  </si>
  <si>
    <t>AGM17021</t>
  </si>
  <si>
    <t>AGM17022</t>
  </si>
  <si>
    <t>-0215</t>
  </si>
  <si>
    <t>0912</t>
  </si>
  <si>
    <t>3111</t>
  </si>
  <si>
    <t>-0612</t>
  </si>
  <si>
    <t>Spinach - Green left belly</t>
  </si>
  <si>
    <t>Pain au Chocolat - Green and Blue on the back</t>
  </si>
  <si>
    <t>Bean - Green and Pink on the back</t>
  </si>
  <si>
    <t>Brocoli - Green on the chest</t>
  </si>
  <si>
    <t>Champignon - Green on left rump and Blue on back and right rump</t>
  </si>
  <si>
    <t>0400</t>
  </si>
  <si>
    <t>0111</t>
  </si>
  <si>
    <t>-0213</t>
  </si>
  <si>
    <t>0312</t>
  </si>
  <si>
    <t>0914</t>
  </si>
  <si>
    <t>0812</t>
  </si>
  <si>
    <t>1708</t>
  </si>
  <si>
    <t>2016</t>
  </si>
  <si>
    <t>3110</t>
  </si>
  <si>
    <t>Pink and Orange on rump</t>
  </si>
  <si>
    <t>AGM17026</t>
  </si>
  <si>
    <t>AGM17027</t>
  </si>
  <si>
    <t>Nut - Yellow on rump and Blue on back</t>
  </si>
  <si>
    <t>-0117</t>
  </si>
  <si>
    <t>0012</t>
  </si>
  <si>
    <t>1614</t>
  </si>
  <si>
    <t>2813</t>
  </si>
  <si>
    <t>3112</t>
  </si>
  <si>
    <t>3208</t>
  </si>
  <si>
    <t>3606</t>
  </si>
  <si>
    <t>00808</t>
  </si>
  <si>
    <t>-0404</t>
  </si>
  <si>
    <t>0011</t>
  </si>
  <si>
    <t>-0314</t>
  </si>
  <si>
    <t>0413</t>
  </si>
  <si>
    <t>0405</t>
  </si>
  <si>
    <t>0811</t>
  </si>
  <si>
    <t>1014</t>
  </si>
  <si>
    <t>1109</t>
  </si>
  <si>
    <t>1814</t>
  </si>
  <si>
    <t>1916</t>
  </si>
  <si>
    <t>2411</t>
  </si>
  <si>
    <t>3308</t>
  </si>
  <si>
    <t>AGM17028</t>
  </si>
  <si>
    <t>Maki - 2 Orange dot on the left belly</t>
  </si>
  <si>
    <t>-0818</t>
  </si>
  <si>
    <t>intertidal</t>
  </si>
  <si>
    <t>0013</t>
  </si>
  <si>
    <t>-0202</t>
  </si>
  <si>
    <t>-0313</t>
  </si>
  <si>
    <t>-0407</t>
  </si>
  <si>
    <t>0306</t>
  </si>
  <si>
    <t>0508</t>
  </si>
  <si>
    <t>0611</t>
  </si>
  <si>
    <t>3222</t>
  </si>
  <si>
    <t>1314</t>
  </si>
  <si>
    <t>1412</t>
  </si>
  <si>
    <t>1915</t>
  </si>
  <si>
    <t>2711</t>
  </si>
  <si>
    <t>0309</t>
  </si>
  <si>
    <t>0017</t>
  </si>
  <si>
    <t>0911</t>
  </si>
  <si>
    <t>1113</t>
  </si>
  <si>
    <t>1208</t>
  </si>
  <si>
    <t>1610</t>
  </si>
  <si>
    <t>3113</t>
  </si>
  <si>
    <t>3420</t>
  </si>
  <si>
    <t>-0811</t>
  </si>
  <si>
    <t>-0403</t>
  </si>
  <si>
    <t>04162E677D</t>
  </si>
  <si>
    <t>AGM17029</t>
  </si>
  <si>
    <t>AGM17030</t>
  </si>
  <si>
    <t>AGM17031</t>
  </si>
  <si>
    <t>2516</t>
  </si>
  <si>
    <t>0412</t>
  </si>
  <si>
    <t>Sausages - Yellow, Orange and Green on neck</t>
  </si>
  <si>
    <t>Carot - Yellow and Green on right rump and Orange on left rump</t>
  </si>
  <si>
    <t>Potato - Yellow, Orange and Green on rump</t>
  </si>
  <si>
    <t>-/G5693</t>
  </si>
  <si>
    <t>0112</t>
  </si>
  <si>
    <t>0215</t>
  </si>
  <si>
    <t>-0203</t>
  </si>
  <si>
    <t>-0616</t>
  </si>
  <si>
    <t>0809</t>
  </si>
  <si>
    <t>1114</t>
  </si>
  <si>
    <t>1313</t>
  </si>
  <si>
    <t>2416</t>
  </si>
  <si>
    <t>3612</t>
  </si>
  <si>
    <t>AGM17033</t>
  </si>
  <si>
    <t>04162E9908</t>
  </si>
  <si>
    <t>AGM17032</t>
  </si>
  <si>
    <t>Cheesecake - Blue left rump and Yellow on chest</t>
  </si>
  <si>
    <t>-0418</t>
  </si>
  <si>
    <t>0218</t>
  </si>
  <si>
    <t>0411</t>
  </si>
  <si>
    <t>-0115</t>
  </si>
  <si>
    <t>0913</t>
  </si>
  <si>
    <t>1011</t>
  </si>
  <si>
    <t>1911</t>
  </si>
  <si>
    <t>2510</t>
  </si>
  <si>
    <t>2713</t>
  </si>
  <si>
    <t>3013</t>
  </si>
  <si>
    <t>3608</t>
  </si>
  <si>
    <t>-0304</t>
  </si>
  <si>
    <t>-0312</t>
  </si>
  <si>
    <t>0612</t>
  </si>
  <si>
    <t>0817</t>
  </si>
  <si>
    <t>2115</t>
  </si>
  <si>
    <t>3109</t>
  </si>
  <si>
    <t>3107</t>
  </si>
  <si>
    <t>3412</t>
  </si>
  <si>
    <t>AGM17034</t>
  </si>
  <si>
    <t>Sourdough - Green, Blue and Pink on rump</t>
  </si>
  <si>
    <t>2309</t>
  </si>
  <si>
    <t>-0101</t>
  </si>
  <si>
    <t>0403</t>
  </si>
  <si>
    <t>-0413</t>
  </si>
  <si>
    <t>1815</t>
  </si>
  <si>
    <t>2512</t>
  </si>
  <si>
    <t>AGM17035</t>
  </si>
  <si>
    <t>AGM17036</t>
  </si>
  <si>
    <t>Pie - Yellow and Blue line on the back</t>
  </si>
  <si>
    <t>Yogourt - Yellow, Blue and Yellow dot on rump</t>
  </si>
  <si>
    <t>2415</t>
  </si>
  <si>
    <t>Blueberry - 2 Blue dot on the middle of the back and Yellow on neck</t>
  </si>
  <si>
    <t>Cupcake -  Orange on right belly and Blue on back</t>
  </si>
  <si>
    <t>Porkchop - Blue and Orange on the back</t>
  </si>
  <si>
    <t>Chocolate - Yellow on the right and the left shoulder, and Yellow/Pink on the left rump</t>
  </si>
  <si>
    <t>Banana - Yellow on the chest and Pink right rump</t>
  </si>
  <si>
    <t>Granny Smith - Green and Yellow head</t>
  </si>
  <si>
    <t>-0107</t>
  </si>
  <si>
    <t>-0212</t>
  </si>
  <si>
    <t>0710</t>
  </si>
  <si>
    <t>2010</t>
  </si>
  <si>
    <t>1818</t>
  </si>
  <si>
    <t>1808</t>
  </si>
  <si>
    <t>2315</t>
  </si>
  <si>
    <t>2308</t>
  </si>
  <si>
    <t>2709</t>
  </si>
  <si>
    <t>2616</t>
  </si>
  <si>
    <t>Croissant - Pink and Orange on the rump and Green on head</t>
  </si>
  <si>
    <t>3422</t>
  </si>
  <si>
    <t>AGM17037</t>
  </si>
  <si>
    <t>Pizza - Green/Yellow/Yellow/Green on neck</t>
  </si>
  <si>
    <t>0219</t>
  </si>
  <si>
    <t>0107</t>
  </si>
  <si>
    <t>-0402</t>
  </si>
  <si>
    <t>0213</t>
  </si>
  <si>
    <t>1414</t>
  </si>
  <si>
    <t>1511</t>
  </si>
  <si>
    <t>1615</t>
  </si>
  <si>
    <t>2717</t>
  </si>
  <si>
    <t>2414</t>
  </si>
  <si>
    <t>2815</t>
  </si>
  <si>
    <t>3012</t>
  </si>
  <si>
    <t>AGM17038</t>
  </si>
  <si>
    <t>-0112</t>
  </si>
  <si>
    <t>1315</t>
  </si>
  <si>
    <t>-0216</t>
  </si>
  <si>
    <t>Vinegar - Yellow on back and rump</t>
  </si>
  <si>
    <t>AGM17039</t>
  </si>
  <si>
    <t>Burger - 2 Yellow dot on chest and Yellow chin</t>
  </si>
  <si>
    <t>-0322</t>
  </si>
  <si>
    <t>0608</t>
  </si>
  <si>
    <t>1411</t>
  </si>
  <si>
    <t>2617</t>
  </si>
  <si>
    <t>3114</t>
  </si>
  <si>
    <t>1617</t>
  </si>
  <si>
    <t>2609</t>
  </si>
  <si>
    <t>0302</t>
  </si>
  <si>
    <t>0410</t>
  </si>
  <si>
    <t>0214</t>
  </si>
  <si>
    <t>-0116</t>
  </si>
  <si>
    <t>1006</t>
  </si>
  <si>
    <t>1418</t>
  </si>
  <si>
    <t>1707</t>
  </si>
  <si>
    <t>1812</t>
  </si>
  <si>
    <t>2009</t>
  </si>
  <si>
    <t>-0321</t>
  </si>
  <si>
    <t>-0522</t>
  </si>
  <si>
    <t>-0118</t>
  </si>
  <si>
    <t>Intertidal</t>
  </si>
  <si>
    <t>1518</t>
  </si>
  <si>
    <t>1711</t>
  </si>
  <si>
    <t>2013</t>
  </si>
  <si>
    <t>2814</t>
  </si>
  <si>
    <t>0308</t>
  </si>
  <si>
    <t>-0422</t>
  </si>
  <si>
    <t>0117</t>
  </si>
  <si>
    <t>-0415</t>
  </si>
  <si>
    <t>1116</t>
  </si>
  <si>
    <t>1606</t>
  </si>
  <si>
    <t>2514</t>
  </si>
  <si>
    <t>2209</t>
  </si>
  <si>
    <t>2608</t>
  </si>
  <si>
    <t>0018</t>
  </si>
  <si>
    <t>-0315</t>
  </si>
  <si>
    <t>0610</t>
  </si>
  <si>
    <t>1514</t>
  </si>
  <si>
    <t>2213</t>
  </si>
  <si>
    <t>3315</t>
  </si>
  <si>
    <t>3417</t>
  </si>
  <si>
    <t>0303</t>
  </si>
  <si>
    <t>0217</t>
  </si>
  <si>
    <t>1215</t>
  </si>
  <si>
    <t>1515</t>
  </si>
  <si>
    <t>1810</t>
  </si>
  <si>
    <t>2413</t>
  </si>
  <si>
    <t>2817</t>
  </si>
  <si>
    <t>3119</t>
  </si>
  <si>
    <t>Pain - Yellow/Blue/Yellow on chest and Yellow on back</t>
  </si>
  <si>
    <t>04162E7A18</t>
  </si>
  <si>
    <t>Pancake - Yellow on chin and Yellow line right back</t>
  </si>
  <si>
    <t>Stew - Orange and Blue line on the back</t>
  </si>
  <si>
    <t>0323</t>
  </si>
  <si>
    <t>Houmous - Orange/Blue left shoulder + Orange right shoulder + Blue back</t>
  </si>
  <si>
    <t>1712</t>
  </si>
  <si>
    <t>2816</t>
  </si>
  <si>
    <t>3011</t>
  </si>
  <si>
    <t>AGM17040</t>
  </si>
  <si>
    <t>Pita - Blue/Yellow/Blue on back of the neck</t>
  </si>
  <si>
    <t>AGM17041</t>
  </si>
  <si>
    <t>0916</t>
  </si>
  <si>
    <t>-0420</t>
  </si>
  <si>
    <t>2313</t>
  </si>
  <si>
    <t>2310</t>
  </si>
  <si>
    <t>2508</t>
  </si>
  <si>
    <t>AGM17042</t>
  </si>
  <si>
    <t>AGM17043</t>
  </si>
  <si>
    <t>Flan - Blue/Orange/Blue on the back</t>
  </si>
  <si>
    <t xml:space="preserve">Falafel - Orange/Green + Blue on neck </t>
  </si>
  <si>
    <t>0808</t>
  </si>
  <si>
    <t>-0410</t>
  </si>
  <si>
    <t>-0412</t>
  </si>
  <si>
    <t>-0320</t>
  </si>
  <si>
    <t>1406</t>
  </si>
  <si>
    <t>1010</t>
  </si>
  <si>
    <t>1817</t>
  </si>
  <si>
    <t>3214</t>
  </si>
  <si>
    <t>AGM17046</t>
  </si>
  <si>
    <t>AGM17044</t>
  </si>
  <si>
    <t>AGM17045</t>
  </si>
  <si>
    <t>04162E9D6A</t>
  </si>
  <si>
    <t>Garlic - Green/Blue/Green on rump + Green/Blue neck</t>
  </si>
  <si>
    <t>Paprika - Green/Blue/Blue/Green dot on neck</t>
  </si>
  <si>
    <t>04162E9286</t>
  </si>
  <si>
    <t>0104</t>
  </si>
  <si>
    <t>-0113</t>
  </si>
  <si>
    <t>2408</t>
  </si>
  <si>
    <t>2917</t>
  </si>
  <si>
    <t>2924</t>
  </si>
  <si>
    <t>Tomate - Orange/Green neck + Orange/Green chest</t>
  </si>
  <si>
    <t>AGM17047</t>
  </si>
  <si>
    <t>AGM17048</t>
  </si>
  <si>
    <t>Poivron - Orange/Green/Orange back</t>
  </si>
  <si>
    <t>TS/TH</t>
  </si>
  <si>
    <t>04130209CD</t>
  </si>
  <si>
    <t>-0508</t>
  </si>
  <si>
    <t>0203</t>
  </si>
  <si>
    <t>0705</t>
  </si>
  <si>
    <t>TH/TS</t>
  </si>
  <si>
    <t>1508</t>
  </si>
  <si>
    <t>2517</t>
  </si>
  <si>
    <t>3115</t>
  </si>
  <si>
    <t>2318</t>
  </si>
  <si>
    <t>Olive - Green line/Blue dot/Green line on back</t>
  </si>
  <si>
    <t>3020</t>
  </si>
  <si>
    <t>FE4000141A</t>
  </si>
  <si>
    <t>AGM17049</t>
  </si>
  <si>
    <t>AGM17051</t>
  </si>
  <si>
    <t>AGM17050</t>
  </si>
  <si>
    <t>04162EBE26</t>
  </si>
  <si>
    <t>Curry - Pink/Green right back + Pink chest</t>
  </si>
  <si>
    <t>Lentil - Green/Blue/Green left neck + Green right neck</t>
  </si>
  <si>
    <t>-0409</t>
  </si>
  <si>
    <t>-0524</t>
  </si>
  <si>
    <t>0422</t>
  </si>
  <si>
    <t>1316</t>
  </si>
  <si>
    <t>1415</t>
  </si>
  <si>
    <t>3406</t>
  </si>
  <si>
    <t>3122</t>
  </si>
  <si>
    <t>0015</t>
  </si>
  <si>
    <t>-0217</t>
  </si>
  <si>
    <t>1607</t>
  </si>
  <si>
    <t>2112</t>
  </si>
  <si>
    <t>3010</t>
  </si>
  <si>
    <t>0604</t>
  </si>
  <si>
    <t>1801</t>
  </si>
  <si>
    <t>3209</t>
  </si>
  <si>
    <t>AGM17052</t>
  </si>
  <si>
    <t>AGM17053</t>
  </si>
  <si>
    <t>Kiwi - Orange dot on neck, back, rump</t>
  </si>
  <si>
    <t>Melon - 2 Orange dot on rump</t>
  </si>
  <si>
    <t>0005</t>
  </si>
  <si>
    <t>0605</t>
  </si>
  <si>
    <t>0602</t>
  </si>
  <si>
    <t>2307</t>
  </si>
  <si>
    <t>-0114</t>
  </si>
  <si>
    <t>0818</t>
  </si>
  <si>
    <t>1512</t>
  </si>
  <si>
    <t>2611</t>
  </si>
  <si>
    <t>AGM17054</t>
  </si>
  <si>
    <t>AGM17055</t>
  </si>
  <si>
    <t>-0220</t>
  </si>
  <si>
    <t>-0128</t>
  </si>
  <si>
    <t>Fondu - Pink/Blue/Pink on back</t>
  </si>
  <si>
    <t>Bacon - Pink on back, chest and head</t>
  </si>
  <si>
    <t>Toast - Pink on back and left flipper</t>
  </si>
  <si>
    <t>-0224</t>
  </si>
  <si>
    <t>1713</t>
  </si>
  <si>
    <t>1717</t>
  </si>
  <si>
    <t>2110</t>
  </si>
  <si>
    <t>04162E8F48</t>
  </si>
  <si>
    <t>04162EB497</t>
  </si>
  <si>
    <t>G5661/TH</t>
  </si>
  <si>
    <t>G5556/TH</t>
  </si>
  <si>
    <t>0617</t>
  </si>
  <si>
    <t>1206</t>
  </si>
  <si>
    <t>1207</t>
  </si>
  <si>
    <t>Sheep - Green dot on back</t>
  </si>
  <si>
    <t>3522</t>
  </si>
  <si>
    <t>AGM17056</t>
  </si>
  <si>
    <t xml:space="preserve">Coffee - Green on rump and back </t>
  </si>
  <si>
    <t>0116</t>
  </si>
  <si>
    <t>0915</t>
  </si>
  <si>
    <t>Cake - Yellow dot on back</t>
  </si>
  <si>
    <t>0910</t>
  </si>
  <si>
    <t>1509</t>
  </si>
  <si>
    <t>2109</t>
  </si>
  <si>
    <t>2515</t>
  </si>
  <si>
    <t>0503</t>
  </si>
  <si>
    <t>0606</t>
  </si>
  <si>
    <t>0816</t>
  </si>
  <si>
    <t>1609</t>
  </si>
  <si>
    <t>2615</t>
  </si>
  <si>
    <t>2507</t>
  </si>
  <si>
    <t>3007</t>
  </si>
  <si>
    <t>1005</t>
  </si>
  <si>
    <t>2612</t>
  </si>
  <si>
    <t>3508</t>
  </si>
  <si>
    <t>0905</t>
  </si>
  <si>
    <t>1307</t>
  </si>
  <si>
    <t>1513</t>
  </si>
  <si>
    <t>2012</t>
  </si>
  <si>
    <t>2106</t>
  </si>
  <si>
    <t>2607</t>
  </si>
  <si>
    <t>Milk - 2 Blue dot on back</t>
  </si>
  <si>
    <t>-0423</t>
  </si>
  <si>
    <t>04162EB6ED</t>
  </si>
  <si>
    <t>0502</t>
  </si>
  <si>
    <t>0505</t>
  </si>
  <si>
    <t>0409</t>
  </si>
  <si>
    <t>-0218</t>
  </si>
  <si>
    <t>3004</t>
  </si>
  <si>
    <t>AGM17057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</si>
</sst>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color indexed="1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Arial"/>
      <family val="2"/>
    </font>
    <font>
      <b/>
      <sz val="10"/>
      <color rgb="FFFFFF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double">
        <color auto="1"/>
      </top>
      <bottom/>
      <diagonal/>
    </border>
  </borders>
  <cellStyleXfs count="365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46">
    <xf numFmtId="0" fontId="0" fillId="0" borderId="0" xfId="0"/>
    <xf numFmtId="49" fontId="0" fillId="0" borderId="0" xfId="0" applyNumberFormat="1"/>
    <xf numFmtId="2" fontId="1" fillId="0" borderId="1" xfId="0" applyNumberFormat="1" applyFont="1" applyBorder="1"/>
    <xf numFmtId="49" fontId="0" fillId="0" borderId="0" xfId="0" applyNumberFormat="1" applyFill="1"/>
    <xf numFmtId="49" fontId="2" fillId="0" borderId="0" xfId="0" applyNumberFormat="1" applyFont="1"/>
    <xf numFmtId="49" fontId="2" fillId="0" borderId="0" xfId="0" applyNumberFormat="1" applyFont="1" applyFill="1"/>
    <xf numFmtId="0" fontId="0" fillId="0" borderId="0" xfId="0" applyFill="1"/>
    <xf numFmtId="0" fontId="2" fillId="0" borderId="0" xfId="0" applyFont="1" applyFill="1"/>
    <xf numFmtId="49" fontId="2" fillId="0" borderId="0" xfId="0" applyNumberFormat="1" applyFont="1" applyFill="1" applyAlignment="1">
      <alignment horizontal="left"/>
    </xf>
    <xf numFmtId="0" fontId="2" fillId="0" borderId="0" xfId="0" applyFont="1"/>
    <xf numFmtId="0" fontId="0" fillId="0" borderId="0" xfId="0" applyFont="1" applyFill="1"/>
    <xf numFmtId="0" fontId="1" fillId="0" borderId="0" xfId="0" applyFont="1" applyFill="1"/>
    <xf numFmtId="0" fontId="1" fillId="0" borderId="0" xfId="0" applyNumberFormat="1" applyFont="1" applyFill="1"/>
    <xf numFmtId="49" fontId="1" fillId="0" borderId="0" xfId="0" applyNumberFormat="1" applyFont="1" applyFill="1"/>
    <xf numFmtId="15" fontId="1" fillId="0" borderId="0" xfId="0" applyNumberFormat="1" applyFont="1" applyFill="1"/>
    <xf numFmtId="2" fontId="0" fillId="0" borderId="0" xfId="0" applyNumberFormat="1" applyFill="1"/>
    <xf numFmtId="2" fontId="2" fillId="0" borderId="0" xfId="0" applyNumberFormat="1" applyFont="1" applyFill="1"/>
    <xf numFmtId="2" fontId="2" fillId="0" borderId="0" xfId="0" applyNumberFormat="1" applyFont="1"/>
    <xf numFmtId="0" fontId="0" fillId="0" borderId="0" xfId="0" applyFill="1" applyBorder="1"/>
    <xf numFmtId="0" fontId="2" fillId="0" borderId="0" xfId="0" applyFont="1" applyFill="1" applyBorder="1"/>
    <xf numFmtId="0" fontId="2" fillId="0" borderId="0" xfId="0" applyFont="1" applyBorder="1"/>
    <xf numFmtId="2" fontId="1" fillId="0" borderId="0" xfId="0" applyNumberFormat="1" applyFont="1" applyFill="1" applyBorder="1"/>
    <xf numFmtId="1" fontId="4" fillId="0" borderId="0" xfId="0" applyNumberFormat="1" applyFont="1"/>
    <xf numFmtId="49" fontId="0" fillId="0" borderId="0" xfId="0" applyNumberFormat="1" applyFill="1" applyAlignment="1">
      <alignment horizontal="left"/>
    </xf>
    <xf numFmtId="0" fontId="6" fillId="0" borderId="0" xfId="0" applyFont="1" applyFill="1"/>
    <xf numFmtId="49" fontId="0" fillId="0" borderId="0" xfId="0" applyNumberFormat="1" applyFill="1" applyAlignment="1">
      <alignment horizontal="center"/>
    </xf>
    <xf numFmtId="49" fontId="3" fillId="0" borderId="0" xfId="0" applyNumberFormat="1" applyFont="1" applyFill="1"/>
    <xf numFmtId="49" fontId="0" fillId="0" borderId="0" xfId="0" applyNumberFormat="1" applyFont="1" applyFill="1"/>
    <xf numFmtId="0" fontId="0" fillId="0" borderId="0" xfId="0" applyFont="1" applyFill="1" applyBorder="1"/>
    <xf numFmtId="2" fontId="0" fillId="0" borderId="0" xfId="0" applyNumberFormat="1" applyFont="1" applyFill="1"/>
    <xf numFmtId="0" fontId="0" fillId="0" borderId="0" xfId="0" applyFill="1" applyAlignment="1">
      <alignment horizontal="left"/>
    </xf>
    <xf numFmtId="49" fontId="0" fillId="0" borderId="0" xfId="0" applyNumberFormat="1" applyFill="1" applyBorder="1"/>
    <xf numFmtId="49" fontId="2" fillId="0" borderId="0" xfId="0" applyNumberFormat="1" applyFont="1" applyFill="1" applyBorder="1"/>
    <xf numFmtId="49" fontId="1" fillId="0" borderId="0" xfId="0" applyNumberFormat="1" applyFont="1" applyFill="1" applyBorder="1"/>
    <xf numFmtId="0" fontId="0" fillId="0" borderId="0" xfId="0" applyNumberFormat="1" applyFill="1"/>
    <xf numFmtId="0" fontId="2" fillId="0" borderId="0" xfId="0" applyNumberFormat="1" applyFont="1" applyFill="1"/>
    <xf numFmtId="0" fontId="0" fillId="2" borderId="0" xfId="0" applyNumberFormat="1" applyFont="1" applyFill="1"/>
    <xf numFmtId="0" fontId="0" fillId="0" borderId="0" xfId="0" applyNumberFormat="1" applyFont="1" applyFill="1"/>
    <xf numFmtId="0" fontId="2" fillId="0" borderId="0" xfId="0" applyNumberFormat="1" applyFont="1" applyFill="1" applyBorder="1" applyAlignment="1">
      <alignment horizontal="left"/>
    </xf>
    <xf numFmtId="0" fontId="0" fillId="0" borderId="0" xfId="0" applyNumberFormat="1" applyFill="1" applyBorder="1"/>
    <xf numFmtId="0" fontId="1" fillId="0" borderId="0" xfId="0" applyNumberFormat="1" applyFont="1" applyFill="1" applyBorder="1"/>
    <xf numFmtId="0" fontId="0" fillId="3" borderId="0" xfId="0" applyNumberFormat="1" applyFont="1" applyFill="1"/>
    <xf numFmtId="11" fontId="2" fillId="0" borderId="0" xfId="0" applyNumberFormat="1" applyFont="1" applyFill="1"/>
    <xf numFmtId="11" fontId="0" fillId="0" borderId="0" xfId="0" applyNumberFormat="1" applyFill="1"/>
    <xf numFmtId="0" fontId="2" fillId="2" borderId="0" xfId="0" applyFont="1" applyFill="1"/>
    <xf numFmtId="0" fontId="5" fillId="0" borderId="0" xfId="0" applyFont="1"/>
  </cellXfs>
  <cellStyles count="36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Normal" xfId="0" builtinId="0"/>
  </cellStyles>
  <dxfs count="13"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0000"/>
      <color rgb="FFFF66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0649942981265274"/>
          <c:y val="0.144971853065878"/>
          <c:w val="0.892502307901167"/>
          <c:h val="0.80014875120248"/>
        </c:manualLayout>
      </c:layout>
      <c:scatterChart>
        <c:scatterStyle val="lineMarker"/>
        <c:varyColors val="0"/>
        <c:ser>
          <c:idx val="0"/>
          <c:order val="0"/>
          <c:tx>
            <c:v>Males</c:v>
          </c:tx>
          <c:spPr>
            <a:ln w="19050"/>
          </c:spPr>
          <c:marker>
            <c:symbol val="diamond"/>
            <c:size val="4"/>
          </c:marker>
          <c:xVal>
            <c:numRef>
              <c:f>'2017-2018'!$G$2:$BO$2</c:f>
              <c:numCache>
                <c:formatCode>d\-mmm\-yy</c:formatCode>
                <c:ptCount val="61"/>
                <c:pt idx="0">
                  <c:v>43040.0</c:v>
                </c:pt>
                <c:pt idx="1">
                  <c:v>43041.0</c:v>
                </c:pt>
                <c:pt idx="2">
                  <c:v>43042.0</c:v>
                </c:pt>
                <c:pt idx="3">
                  <c:v>43043.0</c:v>
                </c:pt>
                <c:pt idx="4">
                  <c:v>43044.0</c:v>
                </c:pt>
                <c:pt idx="5">
                  <c:v>43045.0</c:v>
                </c:pt>
                <c:pt idx="6">
                  <c:v>43046.0</c:v>
                </c:pt>
                <c:pt idx="7">
                  <c:v>43047.0</c:v>
                </c:pt>
                <c:pt idx="8">
                  <c:v>43048.0</c:v>
                </c:pt>
                <c:pt idx="9">
                  <c:v>43049.0</c:v>
                </c:pt>
                <c:pt idx="10">
                  <c:v>43050.0</c:v>
                </c:pt>
                <c:pt idx="11">
                  <c:v>43051.0</c:v>
                </c:pt>
                <c:pt idx="12">
                  <c:v>43052.0</c:v>
                </c:pt>
                <c:pt idx="13">
                  <c:v>43053.0</c:v>
                </c:pt>
                <c:pt idx="14">
                  <c:v>43054.0</c:v>
                </c:pt>
                <c:pt idx="15">
                  <c:v>43055.0</c:v>
                </c:pt>
                <c:pt idx="16">
                  <c:v>43056.0</c:v>
                </c:pt>
                <c:pt idx="17">
                  <c:v>43057.0</c:v>
                </c:pt>
                <c:pt idx="18">
                  <c:v>43058.0</c:v>
                </c:pt>
                <c:pt idx="19">
                  <c:v>43059.0</c:v>
                </c:pt>
                <c:pt idx="20">
                  <c:v>43060.0</c:v>
                </c:pt>
                <c:pt idx="21">
                  <c:v>43061.0</c:v>
                </c:pt>
                <c:pt idx="22">
                  <c:v>43062.0</c:v>
                </c:pt>
                <c:pt idx="23">
                  <c:v>43063.0</c:v>
                </c:pt>
                <c:pt idx="24">
                  <c:v>43064.0</c:v>
                </c:pt>
                <c:pt idx="25">
                  <c:v>43065.0</c:v>
                </c:pt>
                <c:pt idx="26">
                  <c:v>43066.0</c:v>
                </c:pt>
                <c:pt idx="27">
                  <c:v>43067.0</c:v>
                </c:pt>
                <c:pt idx="28">
                  <c:v>43068.0</c:v>
                </c:pt>
                <c:pt idx="29">
                  <c:v>43069.0</c:v>
                </c:pt>
                <c:pt idx="30">
                  <c:v>43070.0</c:v>
                </c:pt>
                <c:pt idx="31">
                  <c:v>43071.0</c:v>
                </c:pt>
                <c:pt idx="32">
                  <c:v>43072.0</c:v>
                </c:pt>
                <c:pt idx="33">
                  <c:v>43073.0</c:v>
                </c:pt>
                <c:pt idx="34">
                  <c:v>43074.0</c:v>
                </c:pt>
                <c:pt idx="35">
                  <c:v>43075.0</c:v>
                </c:pt>
                <c:pt idx="36">
                  <c:v>43076.0</c:v>
                </c:pt>
                <c:pt idx="37">
                  <c:v>43077.0</c:v>
                </c:pt>
                <c:pt idx="38">
                  <c:v>43078.0</c:v>
                </c:pt>
                <c:pt idx="39">
                  <c:v>43079.0</c:v>
                </c:pt>
                <c:pt idx="40">
                  <c:v>43080.0</c:v>
                </c:pt>
                <c:pt idx="41">
                  <c:v>43081.0</c:v>
                </c:pt>
                <c:pt idx="42">
                  <c:v>43082.0</c:v>
                </c:pt>
                <c:pt idx="43">
                  <c:v>43083.0</c:v>
                </c:pt>
                <c:pt idx="44">
                  <c:v>43084.0</c:v>
                </c:pt>
                <c:pt idx="45">
                  <c:v>43085.0</c:v>
                </c:pt>
                <c:pt idx="46">
                  <c:v>43086.0</c:v>
                </c:pt>
                <c:pt idx="47">
                  <c:v>43087.0</c:v>
                </c:pt>
                <c:pt idx="48">
                  <c:v>43088.0</c:v>
                </c:pt>
                <c:pt idx="49">
                  <c:v>43089.0</c:v>
                </c:pt>
                <c:pt idx="50">
                  <c:v>43090.0</c:v>
                </c:pt>
                <c:pt idx="51">
                  <c:v>43091.0</c:v>
                </c:pt>
                <c:pt idx="52">
                  <c:v>43092.0</c:v>
                </c:pt>
                <c:pt idx="53">
                  <c:v>43093.0</c:v>
                </c:pt>
                <c:pt idx="54">
                  <c:v>43094.0</c:v>
                </c:pt>
                <c:pt idx="55">
                  <c:v>43095.0</c:v>
                </c:pt>
                <c:pt idx="56">
                  <c:v>43096.0</c:v>
                </c:pt>
                <c:pt idx="57">
                  <c:v>43097.0</c:v>
                </c:pt>
                <c:pt idx="58">
                  <c:v>43098.0</c:v>
                </c:pt>
                <c:pt idx="59">
                  <c:v>43099.0</c:v>
                </c:pt>
                <c:pt idx="60">
                  <c:v>43100.0</c:v>
                </c:pt>
              </c:numCache>
            </c:numRef>
          </c:xVal>
          <c:yVal>
            <c:numRef>
              <c:f>'2017-2018'!$G$1:$BO$1</c:f>
              <c:numCache>
                <c:formatCode>0</c:formatCode>
                <c:ptCount val="61"/>
                <c:pt idx="0">
                  <c:v>1.0</c:v>
                </c:pt>
                <c:pt idx="1">
                  <c:v>4.0</c:v>
                </c:pt>
                <c:pt idx="2">
                  <c:v>2.0</c:v>
                </c:pt>
                <c:pt idx="3">
                  <c:v>2.0</c:v>
                </c:pt>
                <c:pt idx="4">
                  <c:v>1.0</c:v>
                </c:pt>
                <c:pt idx="5">
                  <c:v>1.0</c:v>
                </c:pt>
                <c:pt idx="6">
                  <c:v>2.0</c:v>
                </c:pt>
                <c:pt idx="7">
                  <c:v>3.0</c:v>
                </c:pt>
                <c:pt idx="8">
                  <c:v>5.0</c:v>
                </c:pt>
                <c:pt idx="9">
                  <c:v>5.0</c:v>
                </c:pt>
                <c:pt idx="10">
                  <c:v>6.0</c:v>
                </c:pt>
                <c:pt idx="11">
                  <c:v>7.0</c:v>
                </c:pt>
                <c:pt idx="12">
                  <c:v>10.0</c:v>
                </c:pt>
                <c:pt idx="13">
                  <c:v>9.0</c:v>
                </c:pt>
                <c:pt idx="14">
                  <c:v>10.0</c:v>
                </c:pt>
                <c:pt idx="15">
                  <c:v>10.0</c:v>
                </c:pt>
                <c:pt idx="16">
                  <c:v>9.0</c:v>
                </c:pt>
                <c:pt idx="17">
                  <c:v>14.0</c:v>
                </c:pt>
                <c:pt idx="18">
                  <c:v>13.0</c:v>
                </c:pt>
                <c:pt idx="19">
                  <c:v>14.0</c:v>
                </c:pt>
                <c:pt idx="20">
                  <c:v>15.0</c:v>
                </c:pt>
                <c:pt idx="21">
                  <c:v>15.0</c:v>
                </c:pt>
                <c:pt idx="22">
                  <c:v>16.0</c:v>
                </c:pt>
                <c:pt idx="23">
                  <c:v>16.0</c:v>
                </c:pt>
                <c:pt idx="24">
                  <c:v>16.0</c:v>
                </c:pt>
                <c:pt idx="25">
                  <c:v>17.0</c:v>
                </c:pt>
                <c:pt idx="26">
                  <c:v>23.0</c:v>
                </c:pt>
                <c:pt idx="27">
                  <c:v>25.0</c:v>
                </c:pt>
                <c:pt idx="28">
                  <c:v>24.0</c:v>
                </c:pt>
                <c:pt idx="29">
                  <c:v>26.0</c:v>
                </c:pt>
                <c:pt idx="30">
                  <c:v>26.0</c:v>
                </c:pt>
                <c:pt idx="31">
                  <c:v>30.0</c:v>
                </c:pt>
                <c:pt idx="32">
                  <c:v>29.0</c:v>
                </c:pt>
                <c:pt idx="33">
                  <c:v>29.0</c:v>
                </c:pt>
                <c:pt idx="34">
                  <c:v>30.0</c:v>
                </c:pt>
                <c:pt idx="35">
                  <c:v>32.0</c:v>
                </c:pt>
                <c:pt idx="36">
                  <c:v>30.0</c:v>
                </c:pt>
                <c:pt idx="37">
                  <c:v>29.0</c:v>
                </c:pt>
                <c:pt idx="38">
                  <c:v>33.0</c:v>
                </c:pt>
                <c:pt idx="39">
                  <c:v>31.0</c:v>
                </c:pt>
                <c:pt idx="40">
                  <c:v>30.0</c:v>
                </c:pt>
                <c:pt idx="41">
                  <c:v>28.0</c:v>
                </c:pt>
                <c:pt idx="42">
                  <c:v>28.0</c:v>
                </c:pt>
                <c:pt idx="43">
                  <c:v>28.0</c:v>
                </c:pt>
                <c:pt idx="44">
                  <c:v>28.0</c:v>
                </c:pt>
                <c:pt idx="45">
                  <c:v>33.0</c:v>
                </c:pt>
                <c:pt idx="46">
                  <c:v>33.0</c:v>
                </c:pt>
                <c:pt idx="47">
                  <c:v>33.0</c:v>
                </c:pt>
                <c:pt idx="48">
                  <c:v>32.0</c:v>
                </c:pt>
                <c:pt idx="49">
                  <c:v>33.0</c:v>
                </c:pt>
                <c:pt idx="50">
                  <c:v>29.0</c:v>
                </c:pt>
                <c:pt idx="51">
                  <c:v>27.0</c:v>
                </c:pt>
                <c:pt idx="52">
                  <c:v>23.0</c:v>
                </c:pt>
                <c:pt idx="53">
                  <c:v>25.0</c:v>
                </c:pt>
                <c:pt idx="54">
                  <c:v>26.0</c:v>
                </c:pt>
                <c:pt idx="55">
                  <c:v>22.0</c:v>
                </c:pt>
                <c:pt idx="56">
                  <c:v>20.0</c:v>
                </c:pt>
                <c:pt idx="57">
                  <c:v>17.0</c:v>
                </c:pt>
                <c:pt idx="58">
                  <c:v>19.0</c:v>
                </c:pt>
                <c:pt idx="59">
                  <c:v>18.0</c:v>
                </c:pt>
                <c:pt idx="60">
                  <c:v>19.0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07F-462C-B3FB-288044C2A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43730568"/>
        <c:axId val="-2143722328"/>
      </c:scatterChart>
      <c:valAx>
        <c:axId val="-2143730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Date</a:t>
                </a:r>
              </a:p>
            </c:rich>
          </c:tx>
          <c:overlay val="0"/>
        </c:title>
        <c:numFmt formatCode="d\-mmm\-yy" sourceLinked="1"/>
        <c:majorTickMark val="none"/>
        <c:minorTickMark val="none"/>
        <c:tickLblPos val="nextTo"/>
        <c:crossAx val="-2143722328"/>
        <c:crosses val="autoZero"/>
        <c:crossBetween val="midCat"/>
        <c:majorUnit val="10.0"/>
      </c:valAx>
      <c:valAx>
        <c:axId val="-21437223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Frequency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-2143730568"/>
        <c:crosses val="autoZero"/>
        <c:crossBetween val="midCat"/>
      </c:valAx>
    </c:plotArea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DH296"/>
  <sheetViews>
    <sheetView workbookViewId="0">
      <pane xSplit="6" ySplit="2" topLeftCell="BL24" activePane="bottomRight" state="frozen"/>
      <selection pane="topRight" activeCell="G1" sqref="G1"/>
      <selection pane="bottomLeft" activeCell="A3" sqref="A3"/>
      <selection pane="bottomRight" activeCell="A37" sqref="A37:XFD37"/>
    </sheetView>
  </sheetViews>
  <sheetFormatPr baseColWidth="10" defaultColWidth="8.83203125" defaultRowHeight="12" x14ac:dyDescent="0"/>
  <cols>
    <col min="1" max="1" width="9.5" style="10" customWidth="1"/>
    <col min="2" max="2" width="12.83203125" style="34" customWidth="1"/>
    <col min="3" max="3" width="11.1640625" customWidth="1"/>
    <col min="4" max="4" width="52" style="9" customWidth="1"/>
    <col min="5" max="5" width="9.33203125" style="1" bestFit="1" customWidth="1"/>
    <col min="6" max="6" width="10" style="1" customWidth="1"/>
    <col min="7" max="7" width="11.5" style="1" customWidth="1"/>
    <col min="8" max="8" width="10.33203125" style="1" bestFit="1" customWidth="1"/>
    <col min="9" max="35" width="9.33203125" style="1" bestFit="1" customWidth="1"/>
    <col min="36" max="36" width="10" style="1" customWidth="1"/>
    <col min="37" max="37" width="10.6640625" style="1" customWidth="1"/>
    <col min="38" max="38" width="11.5" style="1" customWidth="1"/>
    <col min="39" max="39" width="11" style="1" customWidth="1"/>
    <col min="40" max="40" width="11.33203125" style="1" customWidth="1"/>
    <col min="41" max="41" width="11.5" style="1" customWidth="1"/>
    <col min="42" max="42" width="12.33203125" style="1" customWidth="1"/>
    <col min="43" max="43" width="11.83203125" style="1" customWidth="1"/>
    <col min="44" max="44" width="11.1640625" style="1" customWidth="1"/>
    <col min="45" max="45" width="12.83203125" style="1" customWidth="1"/>
    <col min="46" max="46" width="11.5" style="1" customWidth="1"/>
    <col min="47" max="47" width="11.33203125" style="1" customWidth="1"/>
    <col min="48" max="48" width="12.5" style="1" customWidth="1"/>
    <col min="49" max="49" width="9.5" style="1" bestFit="1" customWidth="1"/>
    <col min="50" max="50" width="12.1640625" style="1" customWidth="1"/>
    <col min="51" max="51" width="12" style="1" customWidth="1"/>
    <col min="52" max="52" width="13.83203125" style="1" customWidth="1"/>
    <col min="53" max="53" width="9.5" style="1" bestFit="1" customWidth="1"/>
    <col min="54" max="54" width="11.5" style="1" customWidth="1"/>
    <col min="55" max="55" width="13.5" style="1" customWidth="1"/>
    <col min="56" max="56" width="9.5" style="1" bestFit="1" customWidth="1"/>
    <col min="57" max="57" width="11.83203125" style="1" customWidth="1"/>
    <col min="58" max="58" width="12.5" style="1" customWidth="1"/>
    <col min="59" max="60" width="10.5" style="1" bestFit="1" customWidth="1"/>
    <col min="61" max="61" width="12" style="1" bestFit="1" customWidth="1"/>
    <col min="62" max="62" width="10.5" style="1" bestFit="1" customWidth="1"/>
    <col min="63" max="63" width="11.83203125" style="1" customWidth="1"/>
    <col min="64" max="64" width="12.83203125" style="1" customWidth="1"/>
    <col min="65" max="65" width="15.5" style="1" customWidth="1"/>
    <col min="66" max="66" width="14.33203125" style="1" customWidth="1"/>
    <col min="67" max="67" width="12.5" style="1" customWidth="1"/>
    <col min="68" max="72" width="9.33203125" style="1" bestFit="1" customWidth="1"/>
    <col min="73" max="77" width="10.33203125" style="1" bestFit="1" customWidth="1"/>
  </cols>
  <sheetData>
    <row r="1" spans="1:104" ht="13">
      <c r="D1" s="45" t="s">
        <v>5</v>
      </c>
      <c r="E1" s="45"/>
      <c r="F1" s="45"/>
      <c r="G1" s="22">
        <f t="shared" ref="G1:AL1" si="0">COUNTA(G3:G262)-COUNTIF(G3:G262,"IT")</f>
        <v>1</v>
      </c>
      <c r="H1" s="22">
        <f t="shared" si="0"/>
        <v>4</v>
      </c>
      <c r="I1" s="22">
        <f t="shared" si="0"/>
        <v>2</v>
      </c>
      <c r="J1" s="22">
        <f t="shared" si="0"/>
        <v>2</v>
      </c>
      <c r="K1" s="22">
        <f t="shared" si="0"/>
        <v>1</v>
      </c>
      <c r="L1" s="22">
        <f t="shared" si="0"/>
        <v>1</v>
      </c>
      <c r="M1" s="22">
        <f t="shared" si="0"/>
        <v>2</v>
      </c>
      <c r="N1" s="22">
        <f t="shared" si="0"/>
        <v>3</v>
      </c>
      <c r="O1" s="22">
        <f t="shared" si="0"/>
        <v>5</v>
      </c>
      <c r="P1" s="22">
        <f t="shared" si="0"/>
        <v>5</v>
      </c>
      <c r="Q1" s="22">
        <f t="shared" si="0"/>
        <v>6</v>
      </c>
      <c r="R1" s="22">
        <f t="shared" si="0"/>
        <v>7</v>
      </c>
      <c r="S1" s="22">
        <f t="shared" si="0"/>
        <v>10</v>
      </c>
      <c r="T1" s="22">
        <f t="shared" si="0"/>
        <v>9</v>
      </c>
      <c r="U1" s="22">
        <f t="shared" si="0"/>
        <v>10</v>
      </c>
      <c r="V1" s="22">
        <f t="shared" si="0"/>
        <v>10</v>
      </c>
      <c r="W1" s="22">
        <f t="shared" si="0"/>
        <v>9</v>
      </c>
      <c r="X1" s="22">
        <f t="shared" si="0"/>
        <v>14</v>
      </c>
      <c r="Y1" s="22">
        <f t="shared" si="0"/>
        <v>13</v>
      </c>
      <c r="Z1" s="22">
        <f t="shared" si="0"/>
        <v>14</v>
      </c>
      <c r="AA1" s="22">
        <f t="shared" si="0"/>
        <v>15</v>
      </c>
      <c r="AB1" s="22">
        <f t="shared" si="0"/>
        <v>15</v>
      </c>
      <c r="AC1" s="22">
        <f t="shared" si="0"/>
        <v>16</v>
      </c>
      <c r="AD1" s="22">
        <f t="shared" si="0"/>
        <v>16</v>
      </c>
      <c r="AE1" s="22">
        <f t="shared" si="0"/>
        <v>16</v>
      </c>
      <c r="AF1" s="22">
        <f t="shared" si="0"/>
        <v>17</v>
      </c>
      <c r="AG1" s="22">
        <f t="shared" si="0"/>
        <v>23</v>
      </c>
      <c r="AH1" s="22">
        <f t="shared" si="0"/>
        <v>25</v>
      </c>
      <c r="AI1" s="22">
        <f t="shared" si="0"/>
        <v>24</v>
      </c>
      <c r="AJ1" s="22">
        <f t="shared" si="0"/>
        <v>26</v>
      </c>
      <c r="AK1" s="22">
        <f t="shared" si="0"/>
        <v>26</v>
      </c>
      <c r="AL1" s="22">
        <f t="shared" si="0"/>
        <v>30</v>
      </c>
      <c r="AM1" s="22">
        <f t="shared" ref="AM1:BO1" si="1">COUNTA(AM3:AM262)-COUNTIF(AM3:AM262,"IT")</f>
        <v>29</v>
      </c>
      <c r="AN1" s="22">
        <f t="shared" si="1"/>
        <v>29</v>
      </c>
      <c r="AO1" s="22">
        <f t="shared" si="1"/>
        <v>30</v>
      </c>
      <c r="AP1" s="22">
        <f t="shared" si="1"/>
        <v>32</v>
      </c>
      <c r="AQ1" s="22">
        <f t="shared" si="1"/>
        <v>30</v>
      </c>
      <c r="AR1" s="22">
        <f t="shared" si="1"/>
        <v>29</v>
      </c>
      <c r="AS1" s="22">
        <f t="shared" si="1"/>
        <v>33</v>
      </c>
      <c r="AT1" s="22">
        <f t="shared" si="1"/>
        <v>31</v>
      </c>
      <c r="AU1" s="22">
        <f t="shared" si="1"/>
        <v>30</v>
      </c>
      <c r="AV1" s="22">
        <f t="shared" si="1"/>
        <v>28</v>
      </c>
      <c r="AW1" s="22">
        <f t="shared" si="1"/>
        <v>28</v>
      </c>
      <c r="AX1" s="22">
        <f t="shared" si="1"/>
        <v>28</v>
      </c>
      <c r="AY1" s="22">
        <f t="shared" si="1"/>
        <v>28</v>
      </c>
      <c r="AZ1" s="22">
        <f t="shared" si="1"/>
        <v>33</v>
      </c>
      <c r="BA1" s="22">
        <f t="shared" si="1"/>
        <v>33</v>
      </c>
      <c r="BB1" s="22">
        <f t="shared" si="1"/>
        <v>33</v>
      </c>
      <c r="BC1" s="22">
        <f t="shared" si="1"/>
        <v>32</v>
      </c>
      <c r="BD1" s="22">
        <f t="shared" si="1"/>
        <v>33</v>
      </c>
      <c r="BE1" s="22">
        <f t="shared" si="1"/>
        <v>29</v>
      </c>
      <c r="BF1" s="22">
        <f t="shared" si="1"/>
        <v>27</v>
      </c>
      <c r="BG1" s="22">
        <f t="shared" si="1"/>
        <v>23</v>
      </c>
      <c r="BH1" s="22">
        <f t="shared" si="1"/>
        <v>25</v>
      </c>
      <c r="BI1" s="22">
        <f t="shared" si="1"/>
        <v>26</v>
      </c>
      <c r="BJ1" s="22">
        <f t="shared" si="1"/>
        <v>22</v>
      </c>
      <c r="BK1" s="22">
        <f t="shared" si="1"/>
        <v>20</v>
      </c>
      <c r="BL1" s="22">
        <f t="shared" si="1"/>
        <v>17</v>
      </c>
      <c r="BM1" s="22">
        <f t="shared" si="1"/>
        <v>19</v>
      </c>
      <c r="BN1" s="22">
        <f t="shared" si="1"/>
        <v>18</v>
      </c>
      <c r="BO1" s="22">
        <f t="shared" si="1"/>
        <v>19</v>
      </c>
    </row>
    <row r="2" spans="1:104" s="11" customFormat="1">
      <c r="A2" s="11" t="s">
        <v>3</v>
      </c>
      <c r="B2" s="12" t="s">
        <v>7</v>
      </c>
      <c r="C2" s="11" t="s">
        <v>2</v>
      </c>
      <c r="D2" s="11" t="s">
        <v>6</v>
      </c>
      <c r="E2" s="12" t="s">
        <v>0</v>
      </c>
      <c r="F2" s="13" t="s">
        <v>1</v>
      </c>
      <c r="G2" s="14">
        <v>43040</v>
      </c>
      <c r="H2" s="14">
        <v>43041</v>
      </c>
      <c r="I2" s="14">
        <v>43042</v>
      </c>
      <c r="J2" s="14">
        <v>43043</v>
      </c>
      <c r="K2" s="14">
        <v>43044</v>
      </c>
      <c r="L2" s="14">
        <v>43045</v>
      </c>
      <c r="M2" s="14">
        <v>43046</v>
      </c>
      <c r="N2" s="14">
        <v>43047</v>
      </c>
      <c r="O2" s="14">
        <v>43048</v>
      </c>
      <c r="P2" s="14">
        <v>43049</v>
      </c>
      <c r="Q2" s="14">
        <v>43050</v>
      </c>
      <c r="R2" s="14">
        <v>43051</v>
      </c>
      <c r="S2" s="14">
        <v>43052</v>
      </c>
      <c r="T2" s="14">
        <v>43053</v>
      </c>
      <c r="U2" s="14">
        <v>43054</v>
      </c>
      <c r="V2" s="14">
        <v>43055</v>
      </c>
      <c r="W2" s="14">
        <v>43056</v>
      </c>
      <c r="X2" s="14">
        <v>43057</v>
      </c>
      <c r="Y2" s="14">
        <v>43058</v>
      </c>
      <c r="Z2" s="14">
        <v>43059</v>
      </c>
      <c r="AA2" s="14">
        <v>43060</v>
      </c>
      <c r="AB2" s="14">
        <v>43061</v>
      </c>
      <c r="AC2" s="14">
        <v>43062</v>
      </c>
      <c r="AD2" s="14">
        <v>43063</v>
      </c>
      <c r="AE2" s="14">
        <v>43064</v>
      </c>
      <c r="AF2" s="14">
        <v>43065</v>
      </c>
      <c r="AG2" s="14">
        <v>43066</v>
      </c>
      <c r="AH2" s="14">
        <v>43067</v>
      </c>
      <c r="AI2" s="14">
        <v>43068</v>
      </c>
      <c r="AJ2" s="14">
        <v>43069</v>
      </c>
      <c r="AK2" s="14">
        <v>43070</v>
      </c>
      <c r="AL2" s="14">
        <v>43071</v>
      </c>
      <c r="AM2" s="14">
        <v>43072</v>
      </c>
      <c r="AN2" s="14">
        <v>43073</v>
      </c>
      <c r="AO2" s="14">
        <v>43074</v>
      </c>
      <c r="AP2" s="14">
        <v>43075</v>
      </c>
      <c r="AQ2" s="14">
        <v>43076</v>
      </c>
      <c r="AR2" s="14">
        <v>43077</v>
      </c>
      <c r="AS2" s="14">
        <v>43078</v>
      </c>
      <c r="AT2" s="14">
        <v>43079</v>
      </c>
      <c r="AU2" s="14">
        <v>43080</v>
      </c>
      <c r="AV2" s="14">
        <v>43081</v>
      </c>
      <c r="AW2" s="14">
        <v>43082</v>
      </c>
      <c r="AX2" s="14">
        <v>43083</v>
      </c>
      <c r="AY2" s="14">
        <v>43084</v>
      </c>
      <c r="AZ2" s="14">
        <v>43085</v>
      </c>
      <c r="BA2" s="14">
        <v>43086</v>
      </c>
      <c r="BB2" s="14">
        <v>43087</v>
      </c>
      <c r="BC2" s="14">
        <v>43088</v>
      </c>
      <c r="BD2" s="14">
        <v>43089</v>
      </c>
      <c r="BE2" s="14">
        <v>43090</v>
      </c>
      <c r="BF2" s="14">
        <v>43091</v>
      </c>
      <c r="BG2" s="14">
        <v>43092</v>
      </c>
      <c r="BH2" s="14">
        <v>43093</v>
      </c>
      <c r="BI2" s="14">
        <v>43094</v>
      </c>
      <c r="BJ2" s="14">
        <v>43095</v>
      </c>
      <c r="BK2" s="14">
        <v>43096</v>
      </c>
      <c r="BL2" s="14">
        <v>43097</v>
      </c>
      <c r="BM2" s="14">
        <v>43098</v>
      </c>
      <c r="BN2" s="14">
        <v>43099</v>
      </c>
      <c r="BO2" s="14">
        <v>43100</v>
      </c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</row>
    <row r="3" spans="1:104" s="6" customFormat="1">
      <c r="A3" s="6" t="s">
        <v>8</v>
      </c>
      <c r="B3" s="35" t="s">
        <v>8</v>
      </c>
      <c r="C3" s="7" t="s">
        <v>8</v>
      </c>
      <c r="D3" s="7" t="s">
        <v>9</v>
      </c>
      <c r="E3" s="5" t="s">
        <v>4</v>
      </c>
      <c r="F3" s="5"/>
      <c r="G3" s="3" t="s">
        <v>10</v>
      </c>
      <c r="H3" s="3" t="s">
        <v>11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5"/>
      <c r="AM3" s="3"/>
      <c r="AN3" s="3"/>
      <c r="AO3" s="3"/>
      <c r="AP3" s="5"/>
      <c r="AQ3" s="27"/>
      <c r="AR3" s="27"/>
      <c r="AS3" s="27"/>
      <c r="AT3" s="5"/>
      <c r="AU3" s="3"/>
      <c r="AV3" s="5"/>
      <c r="AW3" s="5"/>
      <c r="AX3" s="5"/>
      <c r="AY3" s="3"/>
      <c r="AZ3" s="3"/>
      <c r="BA3" s="5"/>
      <c r="BB3" s="3"/>
      <c r="BC3" s="3"/>
      <c r="BD3" s="3"/>
      <c r="BE3" s="3"/>
      <c r="BF3" s="5"/>
      <c r="BG3" s="5"/>
      <c r="BH3" s="3"/>
      <c r="BI3" s="3"/>
      <c r="BJ3" s="5"/>
      <c r="BK3" s="5"/>
      <c r="BL3" s="5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104" s="6" customFormat="1">
      <c r="A4" s="6" t="s">
        <v>8</v>
      </c>
      <c r="B4" s="35" t="s">
        <v>8</v>
      </c>
      <c r="C4" s="10" t="s">
        <v>121</v>
      </c>
      <c r="D4" s="10" t="s">
        <v>120</v>
      </c>
      <c r="E4" s="5" t="s">
        <v>4</v>
      </c>
      <c r="F4" s="27" t="s">
        <v>99</v>
      </c>
      <c r="G4" s="3"/>
      <c r="H4" s="3" t="s">
        <v>12</v>
      </c>
      <c r="I4" s="3"/>
      <c r="J4" s="3"/>
      <c r="K4" s="3"/>
      <c r="L4" s="3"/>
      <c r="M4" s="3"/>
      <c r="N4" s="3"/>
      <c r="O4" s="3"/>
      <c r="P4" s="3"/>
      <c r="Q4" s="3" t="s">
        <v>89</v>
      </c>
      <c r="R4" s="3" t="s">
        <v>12</v>
      </c>
      <c r="S4" s="3" t="s">
        <v>12</v>
      </c>
      <c r="T4" s="3" t="s">
        <v>92</v>
      </c>
      <c r="U4" s="3" t="s">
        <v>12</v>
      </c>
      <c r="V4" s="3" t="s">
        <v>12</v>
      </c>
      <c r="W4" s="3"/>
      <c r="X4" s="3" t="s">
        <v>172</v>
      </c>
      <c r="Y4" s="3" t="s">
        <v>187</v>
      </c>
      <c r="Z4" s="3" t="s">
        <v>198</v>
      </c>
      <c r="AA4" s="3" t="s">
        <v>172</v>
      </c>
      <c r="AB4" s="3" t="s">
        <v>172</v>
      </c>
      <c r="AC4" s="27" t="s">
        <v>198</v>
      </c>
      <c r="AD4" s="3" t="s">
        <v>231</v>
      </c>
      <c r="AE4" s="3" t="s">
        <v>212</v>
      </c>
      <c r="AF4" s="3" t="s">
        <v>240</v>
      </c>
      <c r="AG4" s="5" t="s">
        <v>218</v>
      </c>
      <c r="AH4" s="3" t="s">
        <v>92</v>
      </c>
      <c r="AI4" s="27" t="s">
        <v>287</v>
      </c>
      <c r="AJ4" s="3" t="s">
        <v>265</v>
      </c>
      <c r="AK4" s="5" t="s">
        <v>311</v>
      </c>
      <c r="AL4" s="5" t="s">
        <v>324</v>
      </c>
      <c r="AM4" s="3" t="s">
        <v>344</v>
      </c>
      <c r="AN4" s="3" t="s">
        <v>359</v>
      </c>
      <c r="AO4" s="27" t="s">
        <v>92</v>
      </c>
      <c r="AP4" s="27" t="s">
        <v>359</v>
      </c>
      <c r="AQ4" s="27" t="s">
        <v>344</v>
      </c>
      <c r="AR4" s="27" t="s">
        <v>408</v>
      </c>
      <c r="AS4" s="27" t="s">
        <v>422</v>
      </c>
      <c r="AT4" s="27" t="s">
        <v>436</v>
      </c>
      <c r="AU4" s="3" t="s">
        <v>444</v>
      </c>
      <c r="AV4" s="27" t="s">
        <v>452</v>
      </c>
      <c r="AW4" s="5" t="s">
        <v>459</v>
      </c>
      <c r="AX4" s="5" t="s">
        <v>467</v>
      </c>
      <c r="AY4" s="3" t="s">
        <v>436</v>
      </c>
      <c r="AZ4" s="3" t="s">
        <v>452</v>
      </c>
      <c r="BA4" s="5"/>
      <c r="BB4" s="5"/>
      <c r="BC4" s="3"/>
      <c r="BD4" s="3"/>
      <c r="BE4" s="3"/>
      <c r="BF4" s="3"/>
      <c r="BG4" s="3"/>
      <c r="BH4" s="3"/>
      <c r="BI4" s="3"/>
      <c r="BJ4" s="5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104" s="6" customFormat="1">
      <c r="A5" s="6" t="s">
        <v>8</v>
      </c>
      <c r="B5" s="35" t="s">
        <v>8</v>
      </c>
      <c r="C5" s="7" t="s">
        <v>8</v>
      </c>
      <c r="D5" s="7" t="s">
        <v>13</v>
      </c>
      <c r="E5" s="5" t="s">
        <v>4</v>
      </c>
      <c r="F5" s="5"/>
      <c r="G5" s="3"/>
      <c r="H5" s="3" t="s">
        <v>14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5"/>
      <c r="AD5" s="3"/>
      <c r="AE5" s="3"/>
      <c r="AF5" s="3"/>
      <c r="AG5" s="5"/>
      <c r="AH5" s="3"/>
      <c r="AI5" s="5"/>
      <c r="AJ5" s="3"/>
      <c r="AK5" s="5"/>
      <c r="AL5" s="5"/>
      <c r="AM5" s="3"/>
      <c r="AN5" s="3"/>
      <c r="AO5" s="5"/>
      <c r="AP5" s="5"/>
      <c r="AQ5" s="5"/>
      <c r="AR5" s="5"/>
      <c r="AS5" s="5"/>
      <c r="AT5" s="5"/>
      <c r="AU5" s="3"/>
      <c r="AV5" s="5"/>
      <c r="AW5" s="5"/>
      <c r="AX5" s="5"/>
      <c r="AY5" s="3"/>
      <c r="AZ5" s="3"/>
      <c r="BA5" s="5"/>
      <c r="BB5" s="5"/>
      <c r="BC5" s="3"/>
      <c r="BD5" s="3"/>
      <c r="BE5" s="3"/>
      <c r="BF5" s="3"/>
      <c r="BG5" s="3"/>
      <c r="BH5" s="3"/>
      <c r="BI5" s="3"/>
      <c r="BJ5" s="5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104" s="6" customFormat="1">
      <c r="A6" s="6" t="s">
        <v>8</v>
      </c>
      <c r="B6" s="35" t="s">
        <v>8</v>
      </c>
      <c r="C6" s="7" t="s">
        <v>8</v>
      </c>
      <c r="D6" s="7" t="s">
        <v>15</v>
      </c>
      <c r="E6" s="5" t="s">
        <v>4</v>
      </c>
      <c r="F6" s="5"/>
      <c r="G6" s="3"/>
      <c r="H6" s="3" t="s">
        <v>16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27"/>
      <c r="AD6" s="3"/>
      <c r="AE6" s="3"/>
      <c r="AF6" s="3"/>
      <c r="AG6" s="27"/>
      <c r="AH6" s="3"/>
      <c r="AI6" s="27"/>
      <c r="AJ6" s="3"/>
      <c r="AK6" s="5"/>
      <c r="AL6" s="5"/>
      <c r="AM6" s="3"/>
      <c r="AN6" s="3"/>
      <c r="AO6" s="5"/>
      <c r="AP6" s="5"/>
      <c r="AQ6" s="5"/>
      <c r="AR6" s="5"/>
      <c r="AS6" s="5"/>
      <c r="AT6" s="5"/>
      <c r="AU6" s="3"/>
      <c r="AV6" s="5"/>
      <c r="AW6" s="5"/>
      <c r="AX6" s="5"/>
      <c r="AY6" s="3"/>
      <c r="AZ6" s="3"/>
      <c r="BA6" s="5"/>
      <c r="BB6" s="5"/>
      <c r="BC6" s="3"/>
      <c r="BD6" s="3"/>
      <c r="BE6" s="3"/>
      <c r="BF6" s="3"/>
      <c r="BG6" s="3"/>
      <c r="BH6" s="3"/>
      <c r="BI6" s="3"/>
      <c r="BJ6" s="5"/>
      <c r="BK6" s="3"/>
      <c r="BL6" s="5"/>
      <c r="BM6" s="3"/>
      <c r="BN6" s="3"/>
      <c r="BO6" s="5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104" s="6" customFormat="1">
      <c r="A7" s="6" t="s">
        <v>17</v>
      </c>
      <c r="B7" s="35" t="s">
        <v>8</v>
      </c>
      <c r="C7" s="5" t="s">
        <v>94</v>
      </c>
      <c r="D7" s="7" t="s">
        <v>83</v>
      </c>
      <c r="E7" s="5" t="s">
        <v>4</v>
      </c>
      <c r="F7" s="7" t="s">
        <v>99</v>
      </c>
      <c r="G7" s="3"/>
      <c r="H7" s="3"/>
      <c r="I7" s="3" t="s">
        <v>81</v>
      </c>
      <c r="J7" s="3" t="s">
        <v>85</v>
      </c>
      <c r="K7" s="3" t="s">
        <v>88</v>
      </c>
      <c r="L7" s="3" t="s">
        <v>89</v>
      </c>
      <c r="M7" s="3" t="s">
        <v>90</v>
      </c>
      <c r="N7" s="3" t="s">
        <v>95</v>
      </c>
      <c r="O7" s="3" t="s">
        <v>104</v>
      </c>
      <c r="P7" s="3" t="s">
        <v>109</v>
      </c>
      <c r="Q7" s="3" t="s">
        <v>113</v>
      </c>
      <c r="R7" s="3" t="s">
        <v>123</v>
      </c>
      <c r="S7" s="3" t="s">
        <v>128</v>
      </c>
      <c r="T7" s="3" t="s">
        <v>145</v>
      </c>
      <c r="U7" s="3" t="s">
        <v>155</v>
      </c>
      <c r="V7" s="3" t="s">
        <v>81</v>
      </c>
      <c r="W7" s="3" t="s">
        <v>81</v>
      </c>
      <c r="X7" s="3" t="s">
        <v>169</v>
      </c>
      <c r="Y7" s="3" t="s">
        <v>95</v>
      </c>
      <c r="Z7" s="3" t="s">
        <v>199</v>
      </c>
      <c r="AA7" s="3" t="s">
        <v>209</v>
      </c>
      <c r="AB7" s="3" t="s">
        <v>95</v>
      </c>
      <c r="AC7" s="27" t="s">
        <v>199</v>
      </c>
      <c r="AD7" s="3" t="s">
        <v>90</v>
      </c>
      <c r="AE7" s="3" t="s">
        <v>199</v>
      </c>
      <c r="AF7" s="3" t="s">
        <v>199</v>
      </c>
      <c r="AG7" s="5" t="s">
        <v>209</v>
      </c>
      <c r="AH7" s="3" t="s">
        <v>209</v>
      </c>
      <c r="AI7" s="27" t="s">
        <v>209</v>
      </c>
      <c r="AJ7" s="3" t="s">
        <v>294</v>
      </c>
      <c r="AK7" s="5" t="s">
        <v>209</v>
      </c>
      <c r="AL7" s="5" t="s">
        <v>145</v>
      </c>
      <c r="AM7" s="3" t="s">
        <v>209</v>
      </c>
      <c r="AN7" s="3" t="s">
        <v>209</v>
      </c>
      <c r="AO7" s="27" t="s">
        <v>209</v>
      </c>
      <c r="AP7" s="27" t="s">
        <v>209</v>
      </c>
      <c r="AQ7" s="27" t="s">
        <v>310</v>
      </c>
      <c r="AR7" s="27" t="s">
        <v>310</v>
      </c>
      <c r="AS7" s="27" t="s">
        <v>310</v>
      </c>
      <c r="AT7" s="27" t="s">
        <v>310</v>
      </c>
      <c r="AU7" s="3"/>
      <c r="AV7" s="27" t="s">
        <v>310</v>
      </c>
      <c r="AW7" s="5"/>
      <c r="AX7" s="5"/>
      <c r="AY7" s="3"/>
      <c r="AZ7" s="3" t="s">
        <v>310</v>
      </c>
      <c r="BA7" s="5" t="s">
        <v>499</v>
      </c>
      <c r="BB7" s="3" t="s">
        <v>310</v>
      </c>
      <c r="BC7" s="5" t="s">
        <v>208</v>
      </c>
      <c r="BD7" s="3" t="s">
        <v>208</v>
      </c>
      <c r="BE7" s="3" t="s">
        <v>208</v>
      </c>
      <c r="BF7" s="3" t="s">
        <v>222</v>
      </c>
      <c r="BG7" s="3" t="s">
        <v>128</v>
      </c>
      <c r="BH7" s="3" t="s">
        <v>128</v>
      </c>
      <c r="BI7" s="3" t="s">
        <v>208</v>
      </c>
      <c r="BJ7" s="5" t="s">
        <v>437</v>
      </c>
      <c r="BK7" s="3" t="s">
        <v>95</v>
      </c>
      <c r="BL7" s="3" t="s">
        <v>581</v>
      </c>
      <c r="BM7" s="3" t="s">
        <v>604</v>
      </c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104" s="6" customFormat="1">
      <c r="A8" s="10"/>
      <c r="B8" s="35" t="s">
        <v>8</v>
      </c>
      <c r="C8" s="5"/>
      <c r="D8" s="7" t="s">
        <v>84</v>
      </c>
      <c r="E8" s="5" t="s">
        <v>4</v>
      </c>
      <c r="G8" s="3"/>
      <c r="H8" s="3"/>
      <c r="I8" s="3" t="s">
        <v>82</v>
      </c>
      <c r="J8" s="3"/>
      <c r="K8" s="5"/>
      <c r="L8" s="3"/>
      <c r="M8" s="3"/>
      <c r="N8" s="3"/>
      <c r="O8" s="3"/>
      <c r="P8" s="3"/>
      <c r="Q8" s="5"/>
      <c r="R8" s="5"/>
      <c r="S8" s="5"/>
      <c r="T8" s="5"/>
      <c r="U8" s="5"/>
      <c r="V8" s="5"/>
      <c r="W8" s="3"/>
      <c r="X8" s="5"/>
      <c r="Y8" s="3"/>
      <c r="Z8" s="5"/>
      <c r="AA8" s="5"/>
      <c r="AB8" s="3"/>
      <c r="AC8" s="3"/>
      <c r="AD8" s="3"/>
      <c r="AE8" s="3"/>
      <c r="AF8" s="3"/>
      <c r="AG8" s="3"/>
      <c r="AH8" s="3"/>
      <c r="AI8" s="3"/>
      <c r="AJ8" s="3"/>
      <c r="AK8" s="3"/>
      <c r="AL8" s="5"/>
      <c r="AM8" s="3"/>
      <c r="AN8" s="3"/>
      <c r="AO8" s="5"/>
      <c r="AP8" s="5"/>
      <c r="AQ8" s="5"/>
      <c r="AR8" s="5"/>
      <c r="AS8" s="5"/>
      <c r="AT8" s="5"/>
      <c r="AU8" s="3"/>
      <c r="AV8" s="5"/>
      <c r="AW8" s="5"/>
      <c r="AX8" s="5"/>
      <c r="AY8" s="3"/>
      <c r="AZ8" s="5"/>
      <c r="BA8" s="5"/>
      <c r="BB8" s="3"/>
      <c r="BC8" s="5"/>
      <c r="BD8" s="3"/>
      <c r="BE8" s="5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104" s="6" customFormat="1">
      <c r="A9" s="10" t="s">
        <v>8</v>
      </c>
      <c r="B9" s="35" t="s">
        <v>8</v>
      </c>
      <c r="C9" s="5"/>
      <c r="D9" s="7" t="s">
        <v>86</v>
      </c>
      <c r="E9" s="5" t="s">
        <v>4</v>
      </c>
      <c r="H9" s="3"/>
      <c r="I9" s="3"/>
      <c r="J9" s="3" t="s">
        <v>87</v>
      </c>
      <c r="K9" s="5"/>
      <c r="L9" s="3"/>
      <c r="M9" s="3"/>
      <c r="N9" s="3"/>
      <c r="O9" s="3"/>
      <c r="P9" s="3"/>
      <c r="Q9" s="5"/>
      <c r="R9" s="5"/>
      <c r="S9" s="27"/>
      <c r="T9" s="5"/>
      <c r="U9" s="27"/>
      <c r="V9" s="5"/>
      <c r="W9" s="3"/>
      <c r="X9" s="27"/>
      <c r="Y9" s="3"/>
      <c r="Z9" s="27"/>
      <c r="AA9" s="27"/>
      <c r="AB9" s="3"/>
      <c r="AC9" s="3"/>
      <c r="AD9" s="3"/>
      <c r="AE9" s="3"/>
      <c r="AF9" s="3"/>
      <c r="AG9" s="3"/>
      <c r="AH9" s="3"/>
      <c r="AI9" s="3"/>
      <c r="AJ9" s="3"/>
      <c r="AK9" s="3"/>
      <c r="AL9" s="5"/>
      <c r="AM9" s="3"/>
      <c r="AN9" s="3"/>
      <c r="AO9" s="27"/>
      <c r="AP9" s="5"/>
      <c r="AQ9" s="27"/>
      <c r="AR9" s="27"/>
      <c r="AS9" s="27"/>
      <c r="AT9" s="5"/>
      <c r="AU9" s="3"/>
      <c r="AV9" s="5"/>
      <c r="AW9" s="5"/>
      <c r="AX9" s="5"/>
      <c r="AY9" s="3"/>
      <c r="AZ9" s="5"/>
      <c r="BA9" s="5"/>
      <c r="BB9" s="3"/>
      <c r="BC9" s="5"/>
      <c r="BD9" s="3"/>
      <c r="BE9" s="5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104" s="6" customFormat="1">
      <c r="A10" s="10" t="s">
        <v>8</v>
      </c>
      <c r="B10" s="35" t="s">
        <v>8</v>
      </c>
      <c r="C10" s="5" t="s">
        <v>93</v>
      </c>
      <c r="D10" s="7" t="s">
        <v>91</v>
      </c>
      <c r="E10" s="5" t="s">
        <v>4</v>
      </c>
      <c r="F10" s="7" t="s">
        <v>99</v>
      </c>
      <c r="H10" s="3"/>
      <c r="I10" s="3"/>
      <c r="J10" s="3"/>
      <c r="K10" s="3"/>
      <c r="L10" s="3"/>
      <c r="M10" s="3" t="s">
        <v>92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27"/>
      <c r="AA10" s="27"/>
      <c r="AB10" s="3"/>
      <c r="AC10" s="27"/>
      <c r="AD10" s="3"/>
      <c r="AE10" s="3"/>
      <c r="AF10" s="3"/>
      <c r="AG10" s="3"/>
      <c r="AH10" s="3"/>
      <c r="AI10" s="27"/>
      <c r="AJ10" s="3"/>
      <c r="AK10" s="3"/>
      <c r="AL10" s="5"/>
      <c r="AM10" s="27"/>
      <c r="AN10" s="5"/>
      <c r="AO10" s="3"/>
      <c r="AP10" s="5"/>
      <c r="AQ10" s="27"/>
      <c r="AR10" s="27"/>
      <c r="AS10" s="27"/>
      <c r="AT10" s="5"/>
      <c r="AU10" s="3"/>
      <c r="AV10" s="5"/>
      <c r="AW10" s="5"/>
      <c r="AX10" s="5"/>
      <c r="AY10" s="3"/>
      <c r="AZ10" s="3"/>
      <c r="BA10" s="5"/>
      <c r="BB10" s="3"/>
      <c r="BC10" s="5"/>
      <c r="BD10" s="3"/>
      <c r="BE10" s="5"/>
      <c r="BF10" s="3"/>
      <c r="BG10" s="3"/>
      <c r="BH10" s="3"/>
      <c r="BI10" s="3"/>
      <c r="BJ10" s="3"/>
      <c r="BK10" s="3"/>
      <c r="BL10" s="5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104" s="6" customFormat="1">
      <c r="A11" s="10" t="s">
        <v>8</v>
      </c>
      <c r="B11" s="36" t="s">
        <v>96</v>
      </c>
      <c r="C11" s="5" t="s">
        <v>97</v>
      </c>
      <c r="D11" s="10" t="s">
        <v>388</v>
      </c>
      <c r="E11" s="5" t="s">
        <v>4</v>
      </c>
      <c r="F11" s="7" t="s">
        <v>99</v>
      </c>
      <c r="H11" s="3"/>
      <c r="I11" s="3"/>
      <c r="J11" s="3"/>
      <c r="K11" s="3"/>
      <c r="L11" s="3"/>
      <c r="M11" s="3"/>
      <c r="N11" s="3" t="s">
        <v>98</v>
      </c>
      <c r="O11" s="3" t="s">
        <v>102</v>
      </c>
      <c r="P11" s="3" t="s">
        <v>110</v>
      </c>
      <c r="Q11" s="3" t="s">
        <v>119</v>
      </c>
      <c r="R11" s="3" t="s">
        <v>125</v>
      </c>
      <c r="S11" s="3" t="s">
        <v>132</v>
      </c>
      <c r="T11" s="3" t="s">
        <v>146</v>
      </c>
      <c r="U11" s="3" t="s">
        <v>154</v>
      </c>
      <c r="V11" s="3" t="s">
        <v>160</v>
      </c>
      <c r="W11" s="3" t="s">
        <v>165</v>
      </c>
      <c r="X11" s="3" t="s">
        <v>174</v>
      </c>
      <c r="Y11" s="3" t="s">
        <v>160</v>
      </c>
      <c r="Z11" s="3" t="s">
        <v>202</v>
      </c>
      <c r="AA11" s="27" t="s">
        <v>132</v>
      </c>
      <c r="AB11" s="3" t="s">
        <v>219</v>
      </c>
      <c r="AC11" s="27" t="s">
        <v>223</v>
      </c>
      <c r="AD11" s="3" t="s">
        <v>125</v>
      </c>
      <c r="AE11" s="3" t="s">
        <v>238</v>
      </c>
      <c r="AF11" s="3" t="s">
        <v>244</v>
      </c>
      <c r="AG11" s="3" t="s">
        <v>132</v>
      </c>
      <c r="AH11" s="3" t="s">
        <v>280</v>
      </c>
      <c r="AI11" s="27" t="s">
        <v>289</v>
      </c>
      <c r="AJ11" s="3" t="s">
        <v>303</v>
      </c>
      <c r="AK11" s="3" t="s">
        <v>320</v>
      </c>
      <c r="AL11" s="5" t="s">
        <v>280</v>
      </c>
      <c r="AM11" s="27" t="s">
        <v>154</v>
      </c>
      <c r="AN11" s="27" t="s">
        <v>146</v>
      </c>
      <c r="AO11" s="3" t="s">
        <v>328</v>
      </c>
      <c r="AP11" s="27" t="s">
        <v>146</v>
      </c>
      <c r="AQ11" s="27" t="s">
        <v>399</v>
      </c>
      <c r="AR11" s="27" t="s">
        <v>413</v>
      </c>
      <c r="AS11" s="27" t="s">
        <v>132</v>
      </c>
      <c r="AT11" s="27" t="s">
        <v>439</v>
      </c>
      <c r="AU11" s="3" t="s">
        <v>132</v>
      </c>
      <c r="AV11" s="27" t="s">
        <v>455</v>
      </c>
      <c r="AW11" s="5"/>
      <c r="AX11" s="5" t="s">
        <v>132</v>
      </c>
      <c r="AY11" s="3"/>
      <c r="AZ11" s="3"/>
      <c r="BA11" s="5"/>
      <c r="BB11" s="3"/>
      <c r="BC11" s="5"/>
      <c r="BD11" s="3"/>
      <c r="BE11" s="5"/>
      <c r="BF11" s="3"/>
      <c r="BG11" s="3"/>
      <c r="BH11" s="3"/>
      <c r="BI11" s="3"/>
      <c r="BJ11" s="3"/>
      <c r="BK11" s="3"/>
      <c r="BL11" s="5"/>
      <c r="BM11" s="3"/>
      <c r="BN11" s="3"/>
      <c r="BO11" s="5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104" s="6" customFormat="1">
      <c r="A12" s="10" t="s">
        <v>8</v>
      </c>
      <c r="B12" s="35" t="s">
        <v>8</v>
      </c>
      <c r="C12" s="7" t="s">
        <v>8</v>
      </c>
      <c r="D12" s="7" t="s">
        <v>100</v>
      </c>
      <c r="E12" s="5" t="s">
        <v>4</v>
      </c>
      <c r="F12" s="5"/>
      <c r="G12" s="3"/>
      <c r="H12" s="3"/>
      <c r="I12" s="3"/>
      <c r="J12" s="3"/>
      <c r="K12" s="3"/>
      <c r="L12" s="3"/>
      <c r="M12" s="3"/>
      <c r="N12" s="3" t="s">
        <v>101</v>
      </c>
      <c r="O12" s="3" t="s">
        <v>103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5"/>
      <c r="AA12" s="5"/>
      <c r="AB12" s="3"/>
      <c r="AC12" s="5"/>
      <c r="AD12" s="3"/>
      <c r="AE12" s="3"/>
      <c r="AF12" s="3"/>
      <c r="AG12" s="3"/>
      <c r="AH12" s="3"/>
      <c r="AI12" s="5"/>
      <c r="AJ12" s="3"/>
      <c r="AK12" s="3"/>
      <c r="AL12" s="5"/>
      <c r="AM12" s="5"/>
      <c r="AN12" s="5"/>
      <c r="AO12" s="3"/>
      <c r="AP12" s="5"/>
      <c r="AQ12" s="5"/>
      <c r="AR12" s="5"/>
      <c r="AS12" s="5"/>
      <c r="AT12" s="5"/>
      <c r="AU12" s="3"/>
      <c r="AV12" s="5"/>
      <c r="AW12" s="5"/>
      <c r="AX12" s="5"/>
      <c r="AY12" s="3"/>
      <c r="AZ12" s="3"/>
      <c r="BA12" s="5"/>
      <c r="BB12" s="3"/>
      <c r="BC12" s="5"/>
      <c r="BD12" s="3"/>
      <c r="BE12" s="5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104" s="6" customFormat="1">
      <c r="A13" s="10" t="s">
        <v>136</v>
      </c>
      <c r="B13" s="35" t="s">
        <v>8</v>
      </c>
      <c r="C13" s="5" t="s">
        <v>105</v>
      </c>
      <c r="D13" s="10" t="s">
        <v>389</v>
      </c>
      <c r="E13" s="3" t="s">
        <v>4</v>
      </c>
      <c r="F13" s="3" t="s">
        <v>99</v>
      </c>
      <c r="G13" s="3"/>
      <c r="H13" s="3"/>
      <c r="I13" s="3"/>
      <c r="J13" s="3"/>
      <c r="K13" s="3"/>
      <c r="L13" s="3"/>
      <c r="M13" s="3"/>
      <c r="N13" s="3"/>
      <c r="O13" s="3" t="s">
        <v>107</v>
      </c>
      <c r="P13" s="3" t="s">
        <v>111</v>
      </c>
      <c r="Q13" s="3" t="s">
        <v>114</v>
      </c>
      <c r="R13" s="3" t="s">
        <v>126</v>
      </c>
      <c r="S13" s="3" t="s">
        <v>131</v>
      </c>
      <c r="T13" s="3" t="s">
        <v>147</v>
      </c>
      <c r="U13" s="3" t="s">
        <v>153</v>
      </c>
      <c r="V13" s="3" t="s">
        <v>162</v>
      </c>
      <c r="W13" s="3" t="s">
        <v>167</v>
      </c>
      <c r="X13" s="3" t="s">
        <v>175</v>
      </c>
      <c r="Y13" s="3" t="s">
        <v>153</v>
      </c>
      <c r="Z13" s="3" t="s">
        <v>175</v>
      </c>
      <c r="AA13" s="27" t="s">
        <v>215</v>
      </c>
      <c r="AB13" s="3" t="s">
        <v>131</v>
      </c>
      <c r="AC13" s="27" t="s">
        <v>147</v>
      </c>
      <c r="AD13" s="3" t="s">
        <v>175</v>
      </c>
      <c r="AE13" s="3" t="s">
        <v>126</v>
      </c>
      <c r="AF13" s="3" t="s">
        <v>245</v>
      </c>
      <c r="AG13" s="3" t="s">
        <v>256</v>
      </c>
      <c r="AH13" s="3" t="s">
        <v>147</v>
      </c>
      <c r="AI13" s="27" t="s">
        <v>167</v>
      </c>
      <c r="AJ13" s="3" t="s">
        <v>305</v>
      </c>
      <c r="AK13" s="3" t="s">
        <v>107</v>
      </c>
      <c r="AL13" s="5" t="s">
        <v>153</v>
      </c>
      <c r="AM13" s="27" t="s">
        <v>147</v>
      </c>
      <c r="AN13" s="27" t="s">
        <v>363</v>
      </c>
      <c r="AO13" s="3" t="s">
        <v>153</v>
      </c>
      <c r="AP13" s="27" t="s">
        <v>382</v>
      </c>
      <c r="AQ13" s="27" t="s">
        <v>153</v>
      </c>
      <c r="AR13" s="27" t="s">
        <v>416</v>
      </c>
      <c r="AS13" s="27" t="s">
        <v>147</v>
      </c>
      <c r="AT13" s="27" t="s">
        <v>153</v>
      </c>
      <c r="AU13" s="3" t="s">
        <v>305</v>
      </c>
      <c r="AV13" s="27" t="s">
        <v>456</v>
      </c>
      <c r="AW13" s="5" t="s">
        <v>153</v>
      </c>
      <c r="AX13" s="5" t="s">
        <v>471</v>
      </c>
      <c r="AY13" s="3" t="s">
        <v>382</v>
      </c>
      <c r="AZ13" s="3" t="s">
        <v>488</v>
      </c>
      <c r="BA13" s="5" t="s">
        <v>153</v>
      </c>
      <c r="BB13" s="3" t="s">
        <v>305</v>
      </c>
      <c r="BC13" s="5" t="s">
        <v>387</v>
      </c>
      <c r="BD13" s="3" t="s">
        <v>471</v>
      </c>
      <c r="BE13" s="5" t="s">
        <v>416</v>
      </c>
      <c r="BF13" s="3" t="s">
        <v>471</v>
      </c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</row>
    <row r="14" spans="1:104" s="6" customFormat="1">
      <c r="A14" s="10" t="s">
        <v>8</v>
      </c>
      <c r="B14" s="35" t="s">
        <v>8</v>
      </c>
      <c r="C14" s="5" t="s">
        <v>106</v>
      </c>
      <c r="D14" s="7" t="s">
        <v>140</v>
      </c>
      <c r="E14" s="5" t="s">
        <v>4</v>
      </c>
      <c r="F14" s="5" t="s">
        <v>99</v>
      </c>
      <c r="G14" s="3"/>
      <c r="H14" s="3"/>
      <c r="I14" s="3"/>
      <c r="J14" s="3"/>
      <c r="K14" s="3"/>
      <c r="L14" s="3"/>
      <c r="M14" s="3"/>
      <c r="N14" s="3"/>
      <c r="O14" s="3" t="s">
        <v>108</v>
      </c>
      <c r="P14" s="3" t="s">
        <v>112</v>
      </c>
      <c r="Q14" s="3" t="s">
        <v>115</v>
      </c>
      <c r="R14" s="3" t="s">
        <v>127</v>
      </c>
      <c r="S14" s="3" t="s">
        <v>112</v>
      </c>
      <c r="T14" s="3" t="s">
        <v>108</v>
      </c>
      <c r="U14" s="3" t="s">
        <v>152</v>
      </c>
      <c r="V14" s="3" t="s">
        <v>163</v>
      </c>
      <c r="W14" s="3" t="s">
        <v>168</v>
      </c>
      <c r="X14" s="3" t="s">
        <v>176</v>
      </c>
      <c r="Y14" s="3" t="s">
        <v>188</v>
      </c>
      <c r="Z14" s="3" t="s">
        <v>205</v>
      </c>
      <c r="AA14" s="27" t="s">
        <v>216</v>
      </c>
      <c r="AB14" s="3" t="s">
        <v>221</v>
      </c>
      <c r="AC14" s="27" t="s">
        <v>162</v>
      </c>
      <c r="AD14" s="3" t="s">
        <v>233</v>
      </c>
      <c r="AE14" s="3" t="s">
        <v>216</v>
      </c>
      <c r="AF14" s="3" t="s">
        <v>233</v>
      </c>
      <c r="AG14" s="3" t="s">
        <v>216</v>
      </c>
      <c r="AH14" s="3" t="s">
        <v>216</v>
      </c>
      <c r="AI14" s="27" t="s">
        <v>292</v>
      </c>
      <c r="AJ14" s="3" t="s">
        <v>306</v>
      </c>
      <c r="AK14" s="3" t="s">
        <v>306</v>
      </c>
      <c r="AL14" s="5" t="s">
        <v>306</v>
      </c>
      <c r="AM14" s="27" t="s">
        <v>306</v>
      </c>
      <c r="AN14" s="27" t="s">
        <v>292</v>
      </c>
      <c r="AO14" s="3" t="s">
        <v>373</v>
      </c>
      <c r="AP14" s="27" t="s">
        <v>292</v>
      </c>
      <c r="AQ14" s="27" t="s">
        <v>373</v>
      </c>
      <c r="AR14" s="27" t="s">
        <v>306</v>
      </c>
      <c r="AS14" s="27" t="s">
        <v>233</v>
      </c>
      <c r="AT14" s="27" t="s">
        <v>233</v>
      </c>
      <c r="AU14" s="3" t="s">
        <v>306</v>
      </c>
      <c r="AV14" s="27" t="s">
        <v>292</v>
      </c>
      <c r="AW14" s="5" t="s">
        <v>292</v>
      </c>
      <c r="AX14" s="5" t="s">
        <v>216</v>
      </c>
      <c r="AY14" s="3" t="s">
        <v>373</v>
      </c>
      <c r="AZ14" s="3" t="s">
        <v>306</v>
      </c>
      <c r="BA14" s="5" t="s">
        <v>292</v>
      </c>
      <c r="BB14" s="3" t="s">
        <v>292</v>
      </c>
      <c r="BC14" s="5" t="s">
        <v>233</v>
      </c>
      <c r="BD14" s="3" t="s">
        <v>233</v>
      </c>
      <c r="BE14" s="5" t="s">
        <v>543</v>
      </c>
      <c r="BF14" s="3" t="s">
        <v>543</v>
      </c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</row>
    <row r="15" spans="1:104" s="6" customFormat="1">
      <c r="A15" s="10" t="s">
        <v>8</v>
      </c>
      <c r="B15" s="35" t="s">
        <v>8</v>
      </c>
      <c r="C15" s="5" t="s">
        <v>8</v>
      </c>
      <c r="D15" s="7" t="s">
        <v>86</v>
      </c>
      <c r="E15" s="5" t="s">
        <v>4</v>
      </c>
      <c r="F15" s="5"/>
      <c r="G15" s="3"/>
      <c r="H15" s="3"/>
      <c r="I15" s="3"/>
      <c r="J15" s="3"/>
      <c r="K15" s="3"/>
      <c r="L15" s="3"/>
      <c r="M15" s="3"/>
      <c r="N15" s="3"/>
      <c r="O15" s="3"/>
      <c r="P15" s="3" t="s">
        <v>89</v>
      </c>
      <c r="Q15" s="3"/>
      <c r="R15" s="3"/>
      <c r="S15" s="3"/>
      <c r="T15" s="3"/>
      <c r="U15" s="3"/>
      <c r="V15" s="3"/>
      <c r="W15" s="3"/>
      <c r="X15" s="3"/>
      <c r="Y15" s="3"/>
      <c r="Z15" s="5"/>
      <c r="AA15" s="5"/>
      <c r="AB15" s="3"/>
      <c r="AC15" s="5"/>
      <c r="AD15" s="3"/>
      <c r="AE15" s="3"/>
      <c r="AF15" s="3"/>
      <c r="AG15" s="3"/>
      <c r="AH15" s="3"/>
      <c r="AI15" s="5"/>
      <c r="AJ15" s="3"/>
      <c r="AK15" s="3"/>
      <c r="AL15" s="5"/>
      <c r="AM15" s="5"/>
      <c r="AN15" s="5"/>
      <c r="AO15" s="3"/>
      <c r="AP15" s="5"/>
      <c r="AQ15" s="5"/>
      <c r="AR15" s="5"/>
      <c r="AS15" s="5"/>
      <c r="AT15" s="5"/>
      <c r="AU15" s="3"/>
      <c r="AV15" s="5"/>
      <c r="AW15" s="5"/>
      <c r="AX15" s="5"/>
      <c r="AY15" s="3"/>
      <c r="AZ15" s="3"/>
      <c r="BA15" s="5"/>
      <c r="BB15" s="3"/>
      <c r="BC15" s="5"/>
      <c r="BD15" s="3"/>
      <c r="BE15" s="5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</row>
    <row r="16" spans="1:104" s="6" customFormat="1">
      <c r="A16" s="10" t="s">
        <v>8</v>
      </c>
      <c r="B16" s="35" t="s">
        <v>8</v>
      </c>
      <c r="C16" s="27" t="s">
        <v>116</v>
      </c>
      <c r="D16" s="10" t="s">
        <v>117</v>
      </c>
      <c r="E16" s="5" t="s">
        <v>4</v>
      </c>
      <c r="F16" s="5" t="s">
        <v>99</v>
      </c>
      <c r="G16" s="3"/>
      <c r="H16" s="3"/>
      <c r="I16" s="3"/>
      <c r="J16" s="5"/>
      <c r="K16" s="3"/>
      <c r="L16" s="3"/>
      <c r="M16" s="3"/>
      <c r="N16" s="23"/>
      <c r="O16" s="3"/>
      <c r="P16" s="5"/>
      <c r="Q16" s="27" t="s">
        <v>118</v>
      </c>
      <c r="R16" s="27" t="s">
        <v>124</v>
      </c>
      <c r="S16" s="3" t="s">
        <v>130</v>
      </c>
      <c r="T16" s="3" t="s">
        <v>110</v>
      </c>
      <c r="U16" s="3" t="s">
        <v>113</v>
      </c>
      <c r="V16" s="3" t="s">
        <v>159</v>
      </c>
      <c r="W16" s="27" t="s">
        <v>159</v>
      </c>
      <c r="X16" s="27" t="s">
        <v>130</v>
      </c>
      <c r="Y16" s="5" t="s">
        <v>189</v>
      </c>
      <c r="Z16" s="3" t="s">
        <v>201</v>
      </c>
      <c r="AA16" s="27" t="s">
        <v>212</v>
      </c>
      <c r="AB16" s="3" t="s">
        <v>217</v>
      </c>
      <c r="AC16" s="3" t="s">
        <v>14</v>
      </c>
      <c r="AD16" s="3" t="s">
        <v>217</v>
      </c>
      <c r="AE16" s="27" t="s">
        <v>237</v>
      </c>
      <c r="AF16" s="3" t="s">
        <v>243</v>
      </c>
      <c r="AG16" s="3" t="s">
        <v>113</v>
      </c>
      <c r="AH16" s="27" t="s">
        <v>113</v>
      </c>
      <c r="AI16" s="27" t="s">
        <v>243</v>
      </c>
      <c r="AJ16" s="3" t="s">
        <v>237</v>
      </c>
      <c r="AK16" s="3" t="s">
        <v>113</v>
      </c>
      <c r="AL16" s="5" t="s">
        <v>328</v>
      </c>
      <c r="AM16" s="27" t="s">
        <v>113</v>
      </c>
      <c r="AN16" s="27" t="s">
        <v>361</v>
      </c>
      <c r="AO16" s="3" t="s">
        <v>237</v>
      </c>
      <c r="AP16" s="27" t="s">
        <v>243</v>
      </c>
      <c r="AQ16" s="3" t="s">
        <v>124</v>
      </c>
      <c r="AR16" s="3" t="s">
        <v>237</v>
      </c>
      <c r="AS16" s="3" t="s">
        <v>124</v>
      </c>
      <c r="AT16" s="27" t="s">
        <v>237</v>
      </c>
      <c r="AU16" s="3" t="s">
        <v>253</v>
      </c>
      <c r="AV16" s="27" t="s">
        <v>241</v>
      </c>
      <c r="AW16" s="3" t="s">
        <v>113</v>
      </c>
      <c r="AX16" s="3" t="s">
        <v>253</v>
      </c>
      <c r="AY16" s="3" t="s">
        <v>211</v>
      </c>
      <c r="AZ16" s="3" t="s">
        <v>302</v>
      </c>
      <c r="BA16" s="3" t="s">
        <v>500</v>
      </c>
      <c r="BB16" s="3" t="s">
        <v>211</v>
      </c>
      <c r="BC16" s="3" t="s">
        <v>302</v>
      </c>
      <c r="BD16" s="3" t="s">
        <v>361</v>
      </c>
      <c r="BE16" s="5" t="s">
        <v>500</v>
      </c>
      <c r="BF16" s="3" t="s">
        <v>253</v>
      </c>
      <c r="BG16" s="3" t="s">
        <v>302</v>
      </c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</row>
    <row r="17" spans="1:77" s="6" customFormat="1">
      <c r="A17" s="10" t="s">
        <v>8</v>
      </c>
      <c r="B17" s="35" t="s">
        <v>8</v>
      </c>
      <c r="C17" s="27" t="s">
        <v>122</v>
      </c>
      <c r="D17" s="6" t="s">
        <v>141</v>
      </c>
      <c r="E17" s="5" t="s">
        <v>142</v>
      </c>
      <c r="F17" s="5" t="s">
        <v>99</v>
      </c>
      <c r="G17" s="3"/>
      <c r="H17" s="3"/>
      <c r="I17" s="3"/>
      <c r="J17" s="5"/>
      <c r="K17" s="3"/>
      <c r="L17" s="3"/>
      <c r="M17" s="3"/>
      <c r="N17" s="23"/>
      <c r="O17" s="3"/>
      <c r="P17" s="5"/>
      <c r="Q17" s="5"/>
      <c r="R17" s="27" t="s">
        <v>89</v>
      </c>
      <c r="S17" s="3" t="s">
        <v>129</v>
      </c>
      <c r="T17" s="3" t="s">
        <v>89</v>
      </c>
      <c r="U17" s="5" t="s">
        <v>151</v>
      </c>
      <c r="V17" s="3" t="s">
        <v>89</v>
      </c>
      <c r="W17" s="3" t="s">
        <v>129</v>
      </c>
      <c r="X17" s="27" t="s">
        <v>173</v>
      </c>
      <c r="Y17" s="5" t="s">
        <v>89</v>
      </c>
      <c r="Z17" s="5" t="s">
        <v>89</v>
      </c>
      <c r="AA17" s="27" t="s">
        <v>89</v>
      </c>
      <c r="AB17" s="3" t="s">
        <v>129</v>
      </c>
      <c r="AC17" s="3" t="s">
        <v>129</v>
      </c>
      <c r="AD17" s="3" t="s">
        <v>129</v>
      </c>
      <c r="AE17" s="3" t="s">
        <v>129</v>
      </c>
      <c r="AF17" s="3" t="s">
        <v>129</v>
      </c>
      <c r="AG17" s="3" t="s">
        <v>129</v>
      </c>
      <c r="AH17" s="27" t="s">
        <v>129</v>
      </c>
      <c r="AI17" s="27" t="s">
        <v>129</v>
      </c>
      <c r="AJ17" s="3" t="s">
        <v>129</v>
      </c>
      <c r="AK17" s="3"/>
      <c r="AL17" s="5"/>
      <c r="AM17" s="5"/>
      <c r="AN17" s="5"/>
      <c r="AO17" s="3"/>
      <c r="AP17" s="5"/>
      <c r="AQ17" s="3"/>
      <c r="AR17" s="3"/>
      <c r="AS17" s="3"/>
      <c r="AT17" s="5"/>
      <c r="AU17" s="3"/>
      <c r="AV17" s="5"/>
      <c r="AW17" s="3"/>
      <c r="AX17" s="3"/>
      <c r="AY17" s="3"/>
      <c r="AZ17" s="3"/>
      <c r="BA17" s="3"/>
      <c r="BB17" s="3"/>
      <c r="BC17" s="3"/>
      <c r="BD17" s="3"/>
      <c r="BE17" s="5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</row>
    <row r="18" spans="1:77" s="6" customFormat="1">
      <c r="A18" s="10" t="s">
        <v>8</v>
      </c>
      <c r="B18" s="35" t="s">
        <v>144</v>
      </c>
      <c r="C18" s="27" t="s">
        <v>135</v>
      </c>
      <c r="D18" s="10" t="s">
        <v>390</v>
      </c>
      <c r="E18" s="5" t="s">
        <v>143</v>
      </c>
      <c r="F18" s="3" t="s">
        <v>99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 t="s">
        <v>109</v>
      </c>
      <c r="T18" s="3" t="s">
        <v>148</v>
      </c>
      <c r="U18" s="3" t="s">
        <v>109</v>
      </c>
      <c r="V18" s="3" t="s">
        <v>109</v>
      </c>
      <c r="W18" s="3" t="s">
        <v>109</v>
      </c>
      <c r="X18" s="3" t="s">
        <v>109</v>
      </c>
      <c r="Y18" s="3" t="s">
        <v>109</v>
      </c>
      <c r="Z18" s="3" t="s">
        <v>200</v>
      </c>
      <c r="AA18" s="3" t="s">
        <v>211</v>
      </c>
      <c r="AB18" s="3" t="s">
        <v>211</v>
      </c>
      <c r="AC18" s="3" t="s">
        <v>211</v>
      </c>
      <c r="AD18" s="3" t="s">
        <v>211</v>
      </c>
      <c r="AE18" s="3" t="s">
        <v>211</v>
      </c>
      <c r="AF18" s="3" t="s">
        <v>242</v>
      </c>
      <c r="AG18" s="3" t="s">
        <v>242</v>
      </c>
      <c r="AH18" s="3" t="s">
        <v>211</v>
      </c>
      <c r="AI18" s="3" t="s">
        <v>242</v>
      </c>
      <c r="AJ18" s="3" t="s">
        <v>302</v>
      </c>
      <c r="AK18" s="3" t="s">
        <v>242</v>
      </c>
      <c r="AL18" s="3" t="s">
        <v>327</v>
      </c>
      <c r="AM18" s="3" t="s">
        <v>200</v>
      </c>
      <c r="AN18" s="3" t="s">
        <v>202</v>
      </c>
      <c r="AO18" s="3" t="s">
        <v>110</v>
      </c>
      <c r="AP18" s="27" t="s">
        <v>202</v>
      </c>
      <c r="AQ18" s="27" t="s">
        <v>327</v>
      </c>
      <c r="AR18" s="5"/>
      <c r="AS18" s="27" t="s">
        <v>428</v>
      </c>
      <c r="AT18" s="27" t="s">
        <v>200</v>
      </c>
      <c r="AU18" s="3" t="s">
        <v>428</v>
      </c>
      <c r="AV18" s="27" t="s">
        <v>125</v>
      </c>
      <c r="AW18" s="5" t="s">
        <v>413</v>
      </c>
      <c r="AX18" s="3" t="s">
        <v>202</v>
      </c>
      <c r="AY18" s="3" t="s">
        <v>201</v>
      </c>
      <c r="AZ18" s="3" t="s">
        <v>413</v>
      </c>
      <c r="BA18" s="5" t="s">
        <v>428</v>
      </c>
      <c r="BB18" s="3" t="s">
        <v>202</v>
      </c>
      <c r="BC18" s="3" t="s">
        <v>189</v>
      </c>
      <c r="BD18" s="3" t="s">
        <v>320</v>
      </c>
      <c r="BE18" s="5" t="s">
        <v>320</v>
      </c>
      <c r="BF18" s="5" t="s">
        <v>109</v>
      </c>
      <c r="BG18" s="27" t="s">
        <v>328</v>
      </c>
      <c r="BH18" s="3" t="s">
        <v>563</v>
      </c>
      <c r="BI18" s="3"/>
      <c r="BJ18" s="5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</row>
    <row r="19" spans="1:77" s="6" customFormat="1">
      <c r="A19" s="10" t="s">
        <v>8</v>
      </c>
      <c r="B19" s="35" t="s">
        <v>137</v>
      </c>
      <c r="C19" s="27" t="s">
        <v>185</v>
      </c>
      <c r="D19" s="10" t="s">
        <v>186</v>
      </c>
      <c r="E19" s="27" t="s">
        <v>143</v>
      </c>
      <c r="F19" s="3" t="s">
        <v>99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 t="s">
        <v>133</v>
      </c>
      <c r="T19" s="3"/>
      <c r="U19" s="3"/>
      <c r="V19" s="3"/>
      <c r="W19" s="3"/>
      <c r="X19" s="27" t="s">
        <v>183</v>
      </c>
      <c r="Y19" s="3" t="s">
        <v>190</v>
      </c>
      <c r="Z19" s="3" t="s">
        <v>204</v>
      </c>
      <c r="AA19" s="3" t="s">
        <v>214</v>
      </c>
      <c r="AB19" s="3" t="s">
        <v>220</v>
      </c>
      <c r="AC19" s="3" t="s">
        <v>82</v>
      </c>
      <c r="AD19" s="3" t="s">
        <v>183</v>
      </c>
      <c r="AE19" s="3" t="s">
        <v>239</v>
      </c>
      <c r="AF19" s="3" t="s">
        <v>176</v>
      </c>
      <c r="AG19" s="3" t="s">
        <v>168</v>
      </c>
      <c r="AH19" s="3" t="s">
        <v>176</v>
      </c>
      <c r="AI19" s="3" t="s">
        <v>290</v>
      </c>
      <c r="AJ19" s="3" t="s">
        <v>239</v>
      </c>
      <c r="AK19" s="3" t="s">
        <v>322</v>
      </c>
      <c r="AL19" s="5" t="s">
        <v>221</v>
      </c>
      <c r="AM19" s="27" t="s">
        <v>239</v>
      </c>
      <c r="AN19" s="3" t="s">
        <v>108</v>
      </c>
      <c r="AO19" s="27" t="s">
        <v>112</v>
      </c>
      <c r="AP19" s="27" t="s">
        <v>108</v>
      </c>
      <c r="AQ19" s="27" t="s">
        <v>402</v>
      </c>
      <c r="AR19" s="27" t="s">
        <v>168</v>
      </c>
      <c r="AS19" s="27" t="s">
        <v>432</v>
      </c>
      <c r="AT19" s="23" t="s">
        <v>176</v>
      </c>
      <c r="AU19" s="3" t="s">
        <v>108</v>
      </c>
      <c r="AV19" s="3" t="s">
        <v>458</v>
      </c>
      <c r="AW19" s="3" t="s">
        <v>108</v>
      </c>
      <c r="AX19" s="5" t="s">
        <v>114</v>
      </c>
      <c r="AY19" s="3" t="s">
        <v>108</v>
      </c>
      <c r="AZ19" s="3" t="s">
        <v>490</v>
      </c>
      <c r="BA19" s="3" t="s">
        <v>432</v>
      </c>
      <c r="BB19" s="3" t="s">
        <v>114</v>
      </c>
      <c r="BC19" s="5"/>
      <c r="BD19" s="5"/>
      <c r="BE19" s="5"/>
      <c r="BF19" s="3"/>
      <c r="BG19" s="3"/>
      <c r="BH19" s="3"/>
      <c r="BI19" s="3"/>
      <c r="BJ19" s="3"/>
      <c r="BK19" s="3"/>
      <c r="BL19" s="5"/>
      <c r="BM19" s="3"/>
      <c r="BN19" s="3"/>
      <c r="BO19" s="5"/>
      <c r="BP19" s="3"/>
      <c r="BQ19" s="3"/>
      <c r="BR19" s="3"/>
      <c r="BS19" s="3"/>
      <c r="BT19" s="3"/>
      <c r="BU19" s="3"/>
      <c r="BV19" s="3"/>
      <c r="BW19" s="3"/>
      <c r="BX19" s="3"/>
      <c r="BY19" s="3"/>
    </row>
    <row r="20" spans="1:77" s="6" customFormat="1">
      <c r="A20" s="10" t="s">
        <v>8</v>
      </c>
      <c r="B20" s="35" t="s">
        <v>8</v>
      </c>
      <c r="C20" s="27" t="s">
        <v>138</v>
      </c>
      <c r="D20" s="10" t="s">
        <v>139</v>
      </c>
      <c r="E20" s="5" t="s">
        <v>4</v>
      </c>
      <c r="F20" s="3" t="s">
        <v>99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 t="s">
        <v>134</v>
      </c>
      <c r="T20" s="3" t="s">
        <v>149</v>
      </c>
      <c r="U20" s="3" t="s">
        <v>150</v>
      </c>
      <c r="V20" s="3" t="s">
        <v>161</v>
      </c>
      <c r="W20" s="3" t="s">
        <v>166</v>
      </c>
      <c r="X20" s="3" t="s">
        <v>149</v>
      </c>
      <c r="Y20" s="3" t="s">
        <v>149</v>
      </c>
      <c r="Z20" s="3" t="s">
        <v>203</v>
      </c>
      <c r="AA20" s="3" t="s">
        <v>203</v>
      </c>
      <c r="AB20" s="3" t="s">
        <v>150</v>
      </c>
      <c r="AC20" s="3"/>
      <c r="AD20" s="3"/>
      <c r="AE20" s="3"/>
      <c r="AF20" s="3"/>
      <c r="AG20" s="3"/>
      <c r="AH20" s="3"/>
      <c r="AI20" s="3"/>
      <c r="AJ20" s="3"/>
      <c r="AK20" s="5"/>
      <c r="AL20" s="5" t="s">
        <v>310</v>
      </c>
      <c r="AM20" s="27"/>
      <c r="AN20" s="5"/>
      <c r="AO20" s="27"/>
      <c r="AP20" s="27" t="s">
        <v>310</v>
      </c>
      <c r="AQ20" s="27" t="s">
        <v>310</v>
      </c>
      <c r="AR20" s="27"/>
      <c r="AS20" s="27" t="s">
        <v>310</v>
      </c>
      <c r="AT20" s="27" t="s">
        <v>310</v>
      </c>
      <c r="AU20" s="3"/>
      <c r="AV20" s="5"/>
      <c r="AW20" s="3"/>
      <c r="AX20" s="5"/>
      <c r="AY20" s="3"/>
      <c r="AZ20" s="3" t="s">
        <v>310</v>
      </c>
      <c r="BA20" s="5" t="s">
        <v>310</v>
      </c>
      <c r="BB20" s="3"/>
      <c r="BC20" s="5"/>
      <c r="BD20" s="3"/>
      <c r="BE20" s="5"/>
      <c r="BF20" s="5"/>
      <c r="BG20" s="5"/>
      <c r="BH20" s="5"/>
      <c r="BI20" s="3"/>
      <c r="BJ20" s="3"/>
      <c r="BK20" s="3"/>
      <c r="BL20" s="5"/>
      <c r="BM20" s="3"/>
      <c r="BN20" s="3"/>
      <c r="BO20" s="5"/>
      <c r="BP20" s="3"/>
      <c r="BQ20" s="3"/>
      <c r="BR20" s="3"/>
      <c r="BS20" s="3"/>
      <c r="BT20" s="3"/>
      <c r="BU20" s="3"/>
      <c r="BV20" s="3"/>
      <c r="BW20" s="3"/>
      <c r="BX20" s="3"/>
      <c r="BY20" s="3"/>
    </row>
    <row r="21" spans="1:77" s="6" customFormat="1">
      <c r="A21" s="10" t="s">
        <v>8</v>
      </c>
      <c r="B21" s="35" t="s">
        <v>531</v>
      </c>
      <c r="C21" s="27" t="s">
        <v>164</v>
      </c>
      <c r="D21" s="10" t="s">
        <v>157</v>
      </c>
      <c r="E21" s="5" t="s">
        <v>142</v>
      </c>
      <c r="F21" s="3" t="s">
        <v>99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 t="s">
        <v>156</v>
      </c>
      <c r="V21" s="3" t="s">
        <v>158</v>
      </c>
      <c r="W21" s="3" t="s">
        <v>170</v>
      </c>
      <c r="X21" s="3" t="s">
        <v>171</v>
      </c>
      <c r="Y21" s="3" t="s">
        <v>191</v>
      </c>
      <c r="Z21" s="3" t="s">
        <v>196</v>
      </c>
      <c r="AA21" s="3" t="s">
        <v>171</v>
      </c>
      <c r="AB21" s="3" t="s">
        <v>158</v>
      </c>
      <c r="AC21" s="3" t="s">
        <v>170</v>
      </c>
      <c r="AD21" s="3" t="s">
        <v>170</v>
      </c>
      <c r="AE21" s="3" t="s">
        <v>158</v>
      </c>
      <c r="AF21" s="3" t="s">
        <v>158</v>
      </c>
      <c r="AG21" s="3" t="s">
        <v>155</v>
      </c>
      <c r="AH21" s="3" t="s">
        <v>274</v>
      </c>
      <c r="AI21" s="3" t="s">
        <v>170</v>
      </c>
      <c r="AJ21" s="3" t="s">
        <v>299</v>
      </c>
      <c r="AK21" s="5" t="s">
        <v>315</v>
      </c>
      <c r="AL21" s="5" t="s">
        <v>85</v>
      </c>
      <c r="AM21" s="27" t="s">
        <v>155</v>
      </c>
      <c r="AN21" s="27" t="s">
        <v>85</v>
      </c>
      <c r="AO21" s="27" t="s">
        <v>85</v>
      </c>
      <c r="AP21" s="27" t="s">
        <v>379</v>
      </c>
      <c r="AQ21" s="27" t="s">
        <v>299</v>
      </c>
      <c r="AR21" s="27" t="s">
        <v>409</v>
      </c>
      <c r="AS21" s="27" t="s">
        <v>379</v>
      </c>
      <c r="AT21" s="27" t="s">
        <v>433</v>
      </c>
      <c r="AU21" s="3" t="s">
        <v>158</v>
      </c>
      <c r="AV21" s="27" t="s">
        <v>158</v>
      </c>
      <c r="AW21" s="3" t="s">
        <v>10</v>
      </c>
      <c r="AX21" s="5" t="s">
        <v>466</v>
      </c>
      <c r="AY21" s="3" t="s">
        <v>158</v>
      </c>
      <c r="AZ21" s="3" t="s">
        <v>433</v>
      </c>
      <c r="BA21" s="5" t="s">
        <v>466</v>
      </c>
      <c r="BB21" s="3" t="s">
        <v>510</v>
      </c>
      <c r="BC21" s="5" t="s">
        <v>522</v>
      </c>
      <c r="BD21" s="3" t="s">
        <v>171</v>
      </c>
      <c r="BE21" s="5" t="s">
        <v>522</v>
      </c>
      <c r="BF21" s="5" t="s">
        <v>466</v>
      </c>
      <c r="BG21" s="27" t="s">
        <v>522</v>
      </c>
      <c r="BH21" s="5" t="s">
        <v>557</v>
      </c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7" s="6" customFormat="1">
      <c r="A22" s="10" t="s">
        <v>8</v>
      </c>
      <c r="B22" s="37" t="s">
        <v>8</v>
      </c>
      <c r="C22" s="27" t="s">
        <v>177</v>
      </c>
      <c r="D22" s="10" t="s">
        <v>180</v>
      </c>
      <c r="E22" s="27" t="s">
        <v>4</v>
      </c>
      <c r="F22" s="3" t="s">
        <v>99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 t="s">
        <v>181</v>
      </c>
      <c r="Y22" s="3" t="s">
        <v>192</v>
      </c>
      <c r="Z22" s="3" t="s">
        <v>197</v>
      </c>
      <c r="AA22" s="3" t="s">
        <v>210</v>
      </c>
      <c r="AB22" s="3" t="s">
        <v>197</v>
      </c>
      <c r="AC22" s="3" t="s">
        <v>197</v>
      </c>
      <c r="AD22" s="3" t="s">
        <v>232</v>
      </c>
      <c r="AE22" s="3" t="s">
        <v>235</v>
      </c>
      <c r="AF22" s="3" t="s">
        <v>241</v>
      </c>
      <c r="AG22" s="3" t="s">
        <v>251</v>
      </c>
      <c r="AH22" s="3" t="s">
        <v>210</v>
      </c>
      <c r="AI22" s="3" t="s">
        <v>235</v>
      </c>
      <c r="AJ22" s="3" t="s">
        <v>181</v>
      </c>
      <c r="AK22" s="3" t="s">
        <v>316</v>
      </c>
      <c r="AL22" s="5" t="s">
        <v>316</v>
      </c>
      <c r="AM22" s="3" t="s">
        <v>316</v>
      </c>
      <c r="AN22" s="3" t="s">
        <v>210</v>
      </c>
      <c r="AO22" s="27" t="s">
        <v>235</v>
      </c>
      <c r="AP22" s="27" t="s">
        <v>210</v>
      </c>
      <c r="AQ22" s="3"/>
      <c r="AR22" s="3"/>
      <c r="AS22" s="27" t="s">
        <v>310</v>
      </c>
      <c r="AT22" s="5"/>
      <c r="AU22" s="3"/>
      <c r="AV22" s="3"/>
      <c r="AW22" s="3"/>
      <c r="AX22" s="5"/>
      <c r="AY22" s="3" t="s">
        <v>310</v>
      </c>
      <c r="AZ22" s="3" t="s">
        <v>310</v>
      </c>
      <c r="BA22" s="3" t="s">
        <v>310</v>
      </c>
      <c r="BB22" s="3" t="s">
        <v>310</v>
      </c>
      <c r="BC22" s="5"/>
      <c r="BD22" s="3"/>
      <c r="BE22" s="5"/>
      <c r="BF22" s="3"/>
      <c r="BG22" s="3"/>
      <c r="BH22" s="3"/>
      <c r="BI22" s="3"/>
      <c r="BJ22" s="3"/>
      <c r="BK22" s="5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7" s="6" customFormat="1">
      <c r="A23" s="10" t="s">
        <v>8</v>
      </c>
      <c r="B23" s="37" t="s">
        <v>179</v>
      </c>
      <c r="C23" s="27" t="s">
        <v>178</v>
      </c>
      <c r="D23" s="10" t="s">
        <v>391</v>
      </c>
      <c r="E23" s="3" t="s">
        <v>143</v>
      </c>
      <c r="F23" s="27" t="s">
        <v>99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27"/>
      <c r="V23" s="3"/>
      <c r="W23" s="27"/>
      <c r="X23" s="27" t="s">
        <v>182</v>
      </c>
      <c r="Y23" s="3" t="s">
        <v>182</v>
      </c>
      <c r="Z23" s="3" t="s">
        <v>182</v>
      </c>
      <c r="AA23" s="27" t="s">
        <v>182</v>
      </c>
      <c r="AB23" s="5" t="s">
        <v>182</v>
      </c>
      <c r="AC23" s="3" t="s">
        <v>224</v>
      </c>
      <c r="AD23" s="3" t="s">
        <v>134</v>
      </c>
      <c r="AE23" s="3" t="s">
        <v>134</v>
      </c>
      <c r="AF23" s="3" t="s">
        <v>247</v>
      </c>
      <c r="AG23" s="3" t="s">
        <v>257</v>
      </c>
      <c r="AH23" s="27" t="s">
        <v>257</v>
      </c>
      <c r="AI23" s="3" t="s">
        <v>150</v>
      </c>
      <c r="AJ23" s="3" t="s">
        <v>134</v>
      </c>
      <c r="AK23" s="3" t="s">
        <v>134</v>
      </c>
      <c r="AL23" s="3" t="s">
        <v>150</v>
      </c>
      <c r="AM23" s="3" t="s">
        <v>134</v>
      </c>
      <c r="AN23" s="27" t="s">
        <v>134</v>
      </c>
      <c r="AO23" s="27" t="s">
        <v>149</v>
      </c>
      <c r="AP23" s="5"/>
      <c r="AQ23" s="27"/>
      <c r="AR23" s="27"/>
      <c r="AS23" s="27"/>
      <c r="AT23" s="5"/>
      <c r="AU23" s="3"/>
      <c r="AV23" s="5"/>
      <c r="AW23" s="5"/>
      <c r="AX23" s="5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7" s="6" customFormat="1">
      <c r="A24" s="10" t="s">
        <v>8</v>
      </c>
      <c r="B24" s="37" t="s">
        <v>8</v>
      </c>
      <c r="C24" s="3" t="s">
        <v>193</v>
      </c>
      <c r="D24" s="6" t="s">
        <v>195</v>
      </c>
      <c r="E24" s="3" t="s">
        <v>4</v>
      </c>
      <c r="F24" s="5" t="s">
        <v>99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 t="s">
        <v>184</v>
      </c>
      <c r="Y24" s="3"/>
      <c r="Z24" s="3" t="s">
        <v>194</v>
      </c>
      <c r="AA24" s="27" t="s">
        <v>213</v>
      </c>
      <c r="AB24" s="5" t="s">
        <v>218</v>
      </c>
      <c r="AC24" s="27" t="s">
        <v>194</v>
      </c>
      <c r="AD24" s="3" t="s">
        <v>125</v>
      </c>
      <c r="AE24" s="3" t="s">
        <v>236</v>
      </c>
      <c r="AF24" s="3" t="s">
        <v>113</v>
      </c>
      <c r="AG24" s="3" t="s">
        <v>252</v>
      </c>
      <c r="AH24" s="3" t="s">
        <v>278</v>
      </c>
      <c r="AI24" s="27" t="s">
        <v>278</v>
      </c>
      <c r="AJ24" s="3" t="s">
        <v>301</v>
      </c>
      <c r="AK24" s="3" t="s">
        <v>194</v>
      </c>
      <c r="AL24" s="5" t="s">
        <v>326</v>
      </c>
      <c r="AM24" s="3" t="s">
        <v>348</v>
      </c>
      <c r="AN24" s="3" t="s">
        <v>360</v>
      </c>
      <c r="AO24" s="27" t="s">
        <v>370</v>
      </c>
      <c r="AP24" s="3" t="s">
        <v>213</v>
      </c>
      <c r="AQ24" s="27" t="s">
        <v>360</v>
      </c>
      <c r="AR24" s="27" t="s">
        <v>213</v>
      </c>
      <c r="AS24" s="3" t="s">
        <v>213</v>
      </c>
      <c r="AT24" s="3" t="s">
        <v>278</v>
      </c>
      <c r="AU24" s="3" t="s">
        <v>213</v>
      </c>
      <c r="AV24" s="27" t="s">
        <v>454</v>
      </c>
      <c r="AW24" s="5" t="s">
        <v>213</v>
      </c>
      <c r="AX24" s="5" t="s">
        <v>213</v>
      </c>
      <c r="AY24" s="3" t="s">
        <v>236</v>
      </c>
      <c r="AZ24" s="5" t="s">
        <v>486</v>
      </c>
      <c r="BA24" s="5" t="s">
        <v>278</v>
      </c>
      <c r="BB24" s="5" t="s">
        <v>252</v>
      </c>
      <c r="BC24" s="3" t="s">
        <v>370</v>
      </c>
      <c r="BD24" s="5" t="s">
        <v>301</v>
      </c>
      <c r="BE24" s="3" t="s">
        <v>278</v>
      </c>
      <c r="BF24" s="3" t="s">
        <v>213</v>
      </c>
      <c r="BG24" s="3" t="s">
        <v>454</v>
      </c>
      <c r="BH24" s="3" t="s">
        <v>562</v>
      </c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7" s="6" customFormat="1">
      <c r="A25" s="10" t="s">
        <v>8</v>
      </c>
      <c r="B25" s="37" t="s">
        <v>8</v>
      </c>
      <c r="C25" s="27" t="s">
        <v>206</v>
      </c>
      <c r="D25" s="10" t="s">
        <v>207</v>
      </c>
      <c r="E25" s="27" t="s">
        <v>4</v>
      </c>
      <c r="F25" s="27" t="s">
        <v>99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 t="s">
        <v>208</v>
      </c>
      <c r="AB25" s="3" t="s">
        <v>208</v>
      </c>
      <c r="AC25" s="3" t="s">
        <v>222</v>
      </c>
      <c r="AD25" s="3" t="s">
        <v>95</v>
      </c>
      <c r="AE25" s="3" t="s">
        <v>95</v>
      </c>
      <c r="AF25" s="3" t="s">
        <v>208</v>
      </c>
      <c r="AG25" s="3" t="s">
        <v>253</v>
      </c>
      <c r="AH25" s="3" t="s">
        <v>241</v>
      </c>
      <c r="AI25" s="3" t="s">
        <v>241</v>
      </c>
      <c r="AJ25" s="3" t="s">
        <v>241</v>
      </c>
      <c r="AK25" s="3" t="s">
        <v>241</v>
      </c>
      <c r="AL25" s="5" t="s">
        <v>241</v>
      </c>
      <c r="AM25" s="3" t="s">
        <v>347</v>
      </c>
      <c r="AN25" s="3" t="s">
        <v>241</v>
      </c>
      <c r="AO25" s="3" t="s">
        <v>253</v>
      </c>
      <c r="AP25" s="27" t="s">
        <v>241</v>
      </c>
      <c r="AQ25" s="3" t="s">
        <v>241</v>
      </c>
      <c r="AR25" s="27" t="s">
        <v>241</v>
      </c>
      <c r="AS25" s="3" t="s">
        <v>208</v>
      </c>
      <c r="AT25" s="27" t="s">
        <v>437</v>
      </c>
      <c r="AU25" s="3" t="s">
        <v>208</v>
      </c>
      <c r="AV25" s="3" t="s">
        <v>192</v>
      </c>
      <c r="AW25" s="5" t="s">
        <v>461</v>
      </c>
      <c r="AX25" s="3" t="s">
        <v>232</v>
      </c>
      <c r="AY25" s="3" t="s">
        <v>232</v>
      </c>
      <c r="AZ25" s="3" t="s">
        <v>317</v>
      </c>
      <c r="BA25" s="5" t="s">
        <v>317</v>
      </c>
      <c r="BB25" s="3" t="s">
        <v>369</v>
      </c>
      <c r="BC25" s="3" t="s">
        <v>369</v>
      </c>
      <c r="BD25" s="3" t="s">
        <v>369</v>
      </c>
      <c r="BE25" s="3"/>
      <c r="BF25" s="5"/>
      <c r="BG25" s="5"/>
      <c r="BH25" s="3"/>
      <c r="BI25" s="3"/>
      <c r="BJ25" s="5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7" s="6" customFormat="1">
      <c r="A26" s="10" t="s">
        <v>228</v>
      </c>
      <c r="B26" s="37" t="s">
        <v>8</v>
      </c>
      <c r="C26" s="27" t="s">
        <v>230</v>
      </c>
      <c r="D26" s="10" t="s">
        <v>229</v>
      </c>
      <c r="E26" s="3" t="s">
        <v>519</v>
      </c>
      <c r="F26" s="27" t="s">
        <v>99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 t="s">
        <v>225</v>
      </c>
      <c r="AD26" s="3" t="s">
        <v>234</v>
      </c>
      <c r="AE26" s="3" t="s">
        <v>234</v>
      </c>
      <c r="AF26" s="3" t="s">
        <v>246</v>
      </c>
      <c r="AG26" s="3" t="s">
        <v>254</v>
      </c>
      <c r="AH26" s="3" t="s">
        <v>281</v>
      </c>
      <c r="AI26" s="3" t="s">
        <v>254</v>
      </c>
      <c r="AJ26" s="3" t="s">
        <v>304</v>
      </c>
      <c r="AK26" s="3" t="s">
        <v>321</v>
      </c>
      <c r="AL26" s="3" t="s">
        <v>165</v>
      </c>
      <c r="AM26" s="3" t="s">
        <v>321</v>
      </c>
      <c r="AN26" s="3" t="s">
        <v>321</v>
      </c>
      <c r="AO26" s="27" t="s">
        <v>304</v>
      </c>
      <c r="AP26" s="27" t="s">
        <v>381</v>
      </c>
      <c r="AQ26" s="27" t="s">
        <v>398</v>
      </c>
      <c r="AR26" s="27" t="s">
        <v>254</v>
      </c>
      <c r="AS26" s="27" t="s">
        <v>398</v>
      </c>
      <c r="AT26" s="27" t="s">
        <v>304</v>
      </c>
      <c r="AU26" s="3" t="s">
        <v>321</v>
      </c>
      <c r="AV26" s="27" t="s">
        <v>234</v>
      </c>
      <c r="AW26" s="5" t="s">
        <v>281</v>
      </c>
      <c r="AX26" s="5" t="s">
        <v>254</v>
      </c>
      <c r="AY26" s="3" t="s">
        <v>321</v>
      </c>
      <c r="AZ26" s="3" t="s">
        <v>254</v>
      </c>
      <c r="BA26" s="5" t="s">
        <v>501</v>
      </c>
      <c r="BB26" s="3" t="s">
        <v>225</v>
      </c>
      <c r="BC26" s="3" t="s">
        <v>281</v>
      </c>
      <c r="BD26" s="5" t="s">
        <v>246</v>
      </c>
      <c r="BE26" s="5" t="s">
        <v>501</v>
      </c>
      <c r="BF26" s="3" t="s">
        <v>304</v>
      </c>
      <c r="BG26" s="3" t="s">
        <v>321</v>
      </c>
      <c r="BH26" s="3" t="s">
        <v>254</v>
      </c>
      <c r="BI26" s="3" t="s">
        <v>574</v>
      </c>
      <c r="BJ26" s="3" t="s">
        <v>321</v>
      </c>
      <c r="BK26" s="3" t="s">
        <v>246</v>
      </c>
      <c r="BL26" s="5"/>
      <c r="BM26" s="3"/>
      <c r="BN26" s="3"/>
      <c r="BO26" s="5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7" s="6" customFormat="1">
      <c r="A27" s="10" t="s">
        <v>8</v>
      </c>
      <c r="B27" s="37" t="s">
        <v>8</v>
      </c>
      <c r="C27" s="27" t="s">
        <v>227</v>
      </c>
      <c r="D27" s="10" t="s">
        <v>392</v>
      </c>
      <c r="E27" s="27" t="s">
        <v>4</v>
      </c>
      <c r="F27" s="27" t="s">
        <v>99</v>
      </c>
      <c r="G27" s="5"/>
      <c r="H27" s="5"/>
      <c r="I27" s="3"/>
      <c r="J27" s="3"/>
      <c r="K27" s="3"/>
      <c r="L27" s="3"/>
      <c r="M27" s="3"/>
      <c r="N27" s="3"/>
      <c r="O27" s="3"/>
      <c r="P27" s="3"/>
      <c r="Q27" s="3"/>
      <c r="R27" s="5"/>
      <c r="S27" s="27"/>
      <c r="T27" s="5"/>
      <c r="U27" s="27"/>
      <c r="V27" s="3"/>
      <c r="W27" s="27"/>
      <c r="X27" s="27"/>
      <c r="Y27" s="3"/>
      <c r="Z27" s="3"/>
      <c r="AA27" s="3"/>
      <c r="AB27" s="3"/>
      <c r="AC27" s="3" t="s">
        <v>226</v>
      </c>
      <c r="AD27" s="3" t="s">
        <v>226</v>
      </c>
      <c r="AE27" s="3" t="s">
        <v>226</v>
      </c>
      <c r="AF27" s="3" t="s">
        <v>226</v>
      </c>
      <c r="AG27" s="3" t="s">
        <v>255</v>
      </c>
      <c r="AH27" s="3" t="s">
        <v>255</v>
      </c>
      <c r="AI27" s="3" t="s">
        <v>255</v>
      </c>
      <c r="AJ27" s="3" t="s">
        <v>293</v>
      </c>
      <c r="AK27" s="3" t="s">
        <v>318</v>
      </c>
      <c r="AL27" s="5" t="s">
        <v>330</v>
      </c>
      <c r="AM27" s="3" t="s">
        <v>351</v>
      </c>
      <c r="AN27" s="3" t="s">
        <v>366</v>
      </c>
      <c r="AO27" s="27" t="s">
        <v>374</v>
      </c>
      <c r="AP27" s="27" t="s">
        <v>330</v>
      </c>
      <c r="AQ27" s="3" t="s">
        <v>403</v>
      </c>
      <c r="AR27" s="27" t="s">
        <v>415</v>
      </c>
      <c r="AS27" s="3" t="s">
        <v>429</v>
      </c>
      <c r="AT27" s="3" t="s">
        <v>415</v>
      </c>
      <c r="AU27" s="3" t="s">
        <v>429</v>
      </c>
      <c r="AV27" s="3"/>
      <c r="AW27" s="3" t="s">
        <v>330</v>
      </c>
      <c r="AX27" s="3"/>
      <c r="AY27" s="3"/>
      <c r="AZ27" s="3"/>
      <c r="BA27" s="3"/>
      <c r="BB27" s="3"/>
      <c r="BC27" s="3"/>
      <c r="BD27" s="3"/>
      <c r="BE27" s="5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</row>
    <row r="28" spans="1:77" s="6" customFormat="1">
      <c r="A28" s="10" t="s">
        <v>8</v>
      </c>
      <c r="B28" s="5" t="s">
        <v>248</v>
      </c>
      <c r="C28" s="27" t="s">
        <v>249</v>
      </c>
      <c r="D28" s="10" t="s">
        <v>404</v>
      </c>
      <c r="E28" s="5" t="s">
        <v>142</v>
      </c>
      <c r="F28" s="5" t="s">
        <v>99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27"/>
      <c r="V28" s="3"/>
      <c r="W28" s="27"/>
      <c r="X28" s="27"/>
      <c r="Y28" s="3"/>
      <c r="Z28" s="27"/>
      <c r="AA28" s="27"/>
      <c r="AB28" s="5"/>
      <c r="AC28" s="3"/>
      <c r="AD28" s="27"/>
      <c r="AE28" s="3"/>
      <c r="AF28" s="5" t="s">
        <v>250</v>
      </c>
      <c r="AG28" s="3" t="s">
        <v>250</v>
      </c>
      <c r="AH28" s="3" t="s">
        <v>217</v>
      </c>
      <c r="AI28" s="27" t="s">
        <v>217</v>
      </c>
      <c r="AJ28" s="3" t="s">
        <v>217</v>
      </c>
      <c r="AK28" s="5" t="s">
        <v>319</v>
      </c>
      <c r="AL28" s="5" t="s">
        <v>320</v>
      </c>
      <c r="AM28" s="27" t="s">
        <v>349</v>
      </c>
      <c r="AN28" s="27" t="s">
        <v>319</v>
      </c>
      <c r="AO28" s="27" t="s">
        <v>289</v>
      </c>
      <c r="AP28" s="27" t="s">
        <v>289</v>
      </c>
      <c r="AQ28" s="27" t="s">
        <v>319</v>
      </c>
      <c r="AR28" s="27" t="s">
        <v>412</v>
      </c>
      <c r="AS28" s="27" t="s">
        <v>421</v>
      </c>
      <c r="AT28" s="27" t="s">
        <v>412</v>
      </c>
      <c r="AU28" s="3" t="s">
        <v>349</v>
      </c>
      <c r="AV28" s="27" t="s">
        <v>319</v>
      </c>
      <c r="AW28" s="5" t="s">
        <v>462</v>
      </c>
      <c r="AX28" s="5" t="s">
        <v>469</v>
      </c>
      <c r="AY28" s="5" t="s">
        <v>414</v>
      </c>
      <c r="AZ28" s="5" t="s">
        <v>414</v>
      </c>
      <c r="BA28" s="5" t="s">
        <v>289</v>
      </c>
      <c r="BB28" s="3" t="s">
        <v>289</v>
      </c>
      <c r="BC28" s="3" t="s">
        <v>289</v>
      </c>
      <c r="BD28" s="3" t="s">
        <v>469</v>
      </c>
      <c r="BE28" s="3" t="s">
        <v>542</v>
      </c>
      <c r="BF28" s="5" t="s">
        <v>469</v>
      </c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7" s="6" customFormat="1">
      <c r="A29" s="10" t="s">
        <v>8</v>
      </c>
      <c r="B29" s="34" t="s">
        <v>258</v>
      </c>
      <c r="C29" s="27" t="s">
        <v>260</v>
      </c>
      <c r="D29" s="7" t="s">
        <v>273</v>
      </c>
      <c r="E29" s="5" t="s">
        <v>4</v>
      </c>
      <c r="F29" s="5" t="s">
        <v>99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 t="s">
        <v>265</v>
      </c>
      <c r="AH29" s="3" t="s">
        <v>276</v>
      </c>
      <c r="AI29" s="3" t="s">
        <v>231</v>
      </c>
      <c r="AJ29" s="3" t="s">
        <v>297</v>
      </c>
      <c r="AK29" s="3" t="s">
        <v>313</v>
      </c>
      <c r="AL29" s="3" t="s">
        <v>276</v>
      </c>
      <c r="AM29" s="3" t="s">
        <v>276</v>
      </c>
      <c r="AN29" s="3" t="s">
        <v>276</v>
      </c>
      <c r="AO29" s="3" t="s">
        <v>368</v>
      </c>
      <c r="AP29" s="3" t="s">
        <v>380</v>
      </c>
      <c r="AQ29" s="27" t="s">
        <v>395</v>
      </c>
      <c r="AR29" s="27" t="s">
        <v>231</v>
      </c>
      <c r="AS29" s="27" t="s">
        <v>297</v>
      </c>
      <c r="AT29" s="27" t="s">
        <v>297</v>
      </c>
      <c r="AU29" s="3" t="s">
        <v>231</v>
      </c>
      <c r="AV29" s="27" t="s">
        <v>453</v>
      </c>
      <c r="AW29" s="5" t="s">
        <v>460</v>
      </c>
      <c r="AX29" s="5"/>
      <c r="AY29" s="3"/>
      <c r="AZ29" s="3"/>
      <c r="BA29" s="5"/>
      <c r="BB29" s="3"/>
      <c r="BC29" s="3"/>
      <c r="BD29" s="3"/>
      <c r="BE29" s="5"/>
      <c r="BF29" s="5"/>
      <c r="BG29" s="5"/>
      <c r="BH29" s="5"/>
      <c r="BI29" s="3"/>
      <c r="BJ29" s="5"/>
      <c r="BK29" s="3"/>
      <c r="BL29" s="5"/>
      <c r="BM29" s="3"/>
      <c r="BN29" s="3"/>
      <c r="BO29" s="5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7" s="6" customFormat="1">
      <c r="A30" s="10" t="s">
        <v>8</v>
      </c>
      <c r="B30" s="41" t="s">
        <v>259</v>
      </c>
      <c r="C30" s="27" t="s">
        <v>261</v>
      </c>
      <c r="D30" s="10" t="s">
        <v>393</v>
      </c>
      <c r="E30" s="5" t="s">
        <v>143</v>
      </c>
      <c r="F30" s="5" t="s">
        <v>99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 t="s">
        <v>240</v>
      </c>
      <c r="AH30" s="3" t="s">
        <v>277</v>
      </c>
      <c r="AI30" s="27" t="s">
        <v>88</v>
      </c>
      <c r="AJ30" s="3" t="s">
        <v>298</v>
      </c>
      <c r="AK30" s="3" t="s">
        <v>314</v>
      </c>
      <c r="AL30" s="5" t="s">
        <v>129</v>
      </c>
      <c r="AM30" s="27" t="s">
        <v>346</v>
      </c>
      <c r="AN30" s="27" t="s">
        <v>312</v>
      </c>
      <c r="AO30" s="3" t="s">
        <v>312</v>
      </c>
      <c r="AP30" s="27" t="s">
        <v>378</v>
      </c>
      <c r="AQ30" s="3"/>
      <c r="AR30" s="5"/>
      <c r="AS30" s="27"/>
      <c r="AT30" s="5"/>
      <c r="AU30" s="3"/>
      <c r="AV30" s="5"/>
      <c r="AW30" s="3"/>
      <c r="AX30" s="3"/>
      <c r="AY30" s="3"/>
      <c r="AZ30" s="3" t="s">
        <v>310</v>
      </c>
      <c r="BA30" s="5" t="s">
        <v>310</v>
      </c>
      <c r="BB30" s="3" t="s">
        <v>310</v>
      </c>
      <c r="BC30" s="3"/>
      <c r="BD30" s="5" t="s">
        <v>310</v>
      </c>
      <c r="BE30" s="3"/>
      <c r="BF30" s="5"/>
      <c r="BG30" s="3"/>
      <c r="BH30" s="3"/>
      <c r="BI30" s="3"/>
      <c r="BJ30" s="5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7" s="6" customFormat="1">
      <c r="A31" s="10" t="s">
        <v>8</v>
      </c>
      <c r="B31" s="37" t="s">
        <v>8</v>
      </c>
      <c r="C31" s="27" t="s">
        <v>262</v>
      </c>
      <c r="D31" s="7" t="s">
        <v>270</v>
      </c>
      <c r="E31" s="5" t="s">
        <v>4</v>
      </c>
      <c r="F31" s="5" t="s">
        <v>99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27"/>
      <c r="AA31" s="27"/>
      <c r="AB31" s="3"/>
      <c r="AC31" s="3"/>
      <c r="AD31" s="3"/>
      <c r="AE31" s="3"/>
      <c r="AF31" s="3"/>
      <c r="AG31" s="3" t="s">
        <v>266</v>
      </c>
      <c r="AH31" s="3" t="s">
        <v>279</v>
      </c>
      <c r="AI31" s="3" t="s">
        <v>279</v>
      </c>
      <c r="AJ31" s="3" t="s">
        <v>300</v>
      </c>
      <c r="AK31" s="3" t="s">
        <v>317</v>
      </c>
      <c r="AL31" s="3" t="s">
        <v>325</v>
      </c>
      <c r="AM31" s="27" t="s">
        <v>279</v>
      </c>
      <c r="AN31" s="27" t="s">
        <v>251</v>
      </c>
      <c r="AO31" s="27" t="s">
        <v>369</v>
      </c>
      <c r="AP31" s="27" t="s">
        <v>317</v>
      </c>
      <c r="AQ31" s="3" t="s">
        <v>396</v>
      </c>
      <c r="AR31" s="3" t="s">
        <v>369</v>
      </c>
      <c r="AS31" s="27" t="s">
        <v>232</v>
      </c>
      <c r="AT31" s="27" t="s">
        <v>232</v>
      </c>
      <c r="AU31" s="3" t="s">
        <v>317</v>
      </c>
      <c r="AV31" s="5"/>
      <c r="AW31" s="5"/>
      <c r="AX31" s="5"/>
      <c r="AY31" s="3"/>
      <c r="AZ31" s="3"/>
      <c r="BA31" s="3"/>
      <c r="BB31" s="3"/>
      <c r="BC31" s="3"/>
      <c r="BD31" s="3"/>
      <c r="BE31" s="3"/>
      <c r="BF31" s="5"/>
      <c r="BG31" s="5"/>
      <c r="BH31" s="3"/>
      <c r="BI31" s="3"/>
      <c r="BJ31" s="5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7" s="6" customFormat="1">
      <c r="A32" s="10" t="s">
        <v>8</v>
      </c>
      <c r="B32" s="37" t="s">
        <v>8</v>
      </c>
      <c r="C32" s="27" t="s">
        <v>263</v>
      </c>
      <c r="D32" s="7" t="s">
        <v>269</v>
      </c>
      <c r="E32" s="5" t="s">
        <v>4</v>
      </c>
      <c r="F32" s="3" t="s">
        <v>99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 t="s">
        <v>214</v>
      </c>
      <c r="AH32" s="3" t="s">
        <v>282</v>
      </c>
      <c r="AI32" s="3" t="s">
        <v>291</v>
      </c>
      <c r="AJ32" s="3" t="s">
        <v>214</v>
      </c>
      <c r="AK32" s="3" t="s">
        <v>214</v>
      </c>
      <c r="AL32" s="5" t="s">
        <v>214</v>
      </c>
      <c r="AM32" s="3" t="s">
        <v>214</v>
      </c>
      <c r="AN32" s="3" t="s">
        <v>364</v>
      </c>
      <c r="AO32" s="3" t="s">
        <v>214</v>
      </c>
      <c r="AP32" s="27" t="s">
        <v>204</v>
      </c>
      <c r="AQ32" s="3" t="s">
        <v>405</v>
      </c>
      <c r="AR32" s="3" t="s">
        <v>417</v>
      </c>
      <c r="AS32" s="3" t="s">
        <v>417</v>
      </c>
      <c r="AT32" s="27" t="s">
        <v>417</v>
      </c>
      <c r="AU32" s="3" t="s">
        <v>449</v>
      </c>
      <c r="AV32" s="27" t="s">
        <v>214</v>
      </c>
      <c r="AW32" s="3" t="s">
        <v>183</v>
      </c>
      <c r="AX32" s="3" t="s">
        <v>472</v>
      </c>
      <c r="AY32" s="3" t="s">
        <v>481</v>
      </c>
      <c r="AZ32" s="3" t="s">
        <v>183</v>
      </c>
      <c r="BA32" s="3" t="s">
        <v>183</v>
      </c>
      <c r="BB32" s="3" t="s">
        <v>513</v>
      </c>
      <c r="BC32" s="3" t="s">
        <v>183</v>
      </c>
      <c r="BD32" s="3" t="s">
        <v>417</v>
      </c>
      <c r="BE32" s="3"/>
      <c r="BF32" s="3"/>
      <c r="BG32" s="3"/>
      <c r="BH32" s="3"/>
      <c r="BI32" s="3"/>
      <c r="BJ32" s="3"/>
      <c r="BK32" s="3"/>
      <c r="BL32" s="5"/>
      <c r="BM32" s="3"/>
      <c r="BN32" s="3"/>
      <c r="BO32" s="5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7" s="6" customFormat="1">
      <c r="A33" s="10" t="s">
        <v>8</v>
      </c>
      <c r="B33" s="37" t="s">
        <v>8</v>
      </c>
      <c r="C33" s="27" t="s">
        <v>264</v>
      </c>
      <c r="D33" s="7" t="s">
        <v>271</v>
      </c>
      <c r="E33" s="5" t="s">
        <v>4</v>
      </c>
      <c r="F33" s="3" t="s">
        <v>99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 t="s">
        <v>267</v>
      </c>
      <c r="AH33" s="3" t="s">
        <v>214</v>
      </c>
      <c r="AI33" s="3" t="s">
        <v>214</v>
      </c>
      <c r="AJ33" s="3" t="s">
        <v>291</v>
      </c>
      <c r="AK33" s="3" t="s">
        <v>162</v>
      </c>
      <c r="AL33" s="5" t="s">
        <v>329</v>
      </c>
      <c r="AM33" s="3" t="s">
        <v>329</v>
      </c>
      <c r="AN33" s="27" t="s">
        <v>365</v>
      </c>
      <c r="AO33" s="27" t="s">
        <v>372</v>
      </c>
      <c r="AP33" s="27" t="s">
        <v>291</v>
      </c>
      <c r="AQ33" s="3" t="s">
        <v>329</v>
      </c>
      <c r="AR33" s="3" t="s">
        <v>418</v>
      </c>
      <c r="AS33" s="27" t="s">
        <v>430</v>
      </c>
      <c r="AT33" s="3" t="s">
        <v>418</v>
      </c>
      <c r="AU33" s="3" t="s">
        <v>372</v>
      </c>
      <c r="AV33" s="3" t="s">
        <v>282</v>
      </c>
      <c r="AW33" s="5" t="s">
        <v>464</v>
      </c>
      <c r="AX33" s="5" t="s">
        <v>365</v>
      </c>
      <c r="AY33" s="3" t="s">
        <v>482</v>
      </c>
      <c r="AZ33" s="3" t="s">
        <v>267</v>
      </c>
      <c r="BA33" s="5" t="s">
        <v>502</v>
      </c>
      <c r="BB33" s="3" t="s">
        <v>329</v>
      </c>
      <c r="BC33" s="5" t="s">
        <v>527</v>
      </c>
      <c r="BD33" s="3" t="s">
        <v>221</v>
      </c>
      <c r="BE33" s="5" t="s">
        <v>205</v>
      </c>
      <c r="BF33" s="5" t="s">
        <v>549</v>
      </c>
      <c r="BG33" s="27" t="s">
        <v>552</v>
      </c>
      <c r="BH33" s="3" t="s">
        <v>115</v>
      </c>
      <c r="BI33" s="3" t="s">
        <v>205</v>
      </c>
      <c r="BJ33" s="5" t="s">
        <v>292</v>
      </c>
      <c r="BK33" s="3" t="s">
        <v>600</v>
      </c>
      <c r="BL33" s="5" t="s">
        <v>600</v>
      </c>
      <c r="BM33" s="3" t="s">
        <v>221</v>
      </c>
      <c r="BN33" s="3" t="s">
        <v>267</v>
      </c>
      <c r="BO33" s="27" t="s">
        <v>205</v>
      </c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7" s="6" customFormat="1">
      <c r="A34" s="10" t="s">
        <v>8</v>
      </c>
      <c r="B34" s="34" t="s">
        <v>8</v>
      </c>
      <c r="C34" s="27" t="s">
        <v>284</v>
      </c>
      <c r="D34" s="7" t="s">
        <v>272</v>
      </c>
      <c r="E34" s="5" t="s">
        <v>4</v>
      </c>
      <c r="F34" s="27" t="s">
        <v>99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5"/>
      <c r="W34" s="5"/>
      <c r="X34" s="3"/>
      <c r="Y34" s="3"/>
      <c r="Z34" s="27"/>
      <c r="AA34" s="27"/>
      <c r="AB34" s="3"/>
      <c r="AC34" s="3"/>
      <c r="AD34" s="27"/>
      <c r="AE34" s="3"/>
      <c r="AF34" s="3"/>
      <c r="AG34" s="3" t="s">
        <v>268</v>
      </c>
      <c r="AH34" s="27" t="s">
        <v>275</v>
      </c>
      <c r="AI34" s="27" t="s">
        <v>288</v>
      </c>
      <c r="AJ34" s="3" t="s">
        <v>296</v>
      </c>
      <c r="AK34" s="3" t="s">
        <v>198</v>
      </c>
      <c r="AL34" s="3" t="s">
        <v>198</v>
      </c>
      <c r="AM34" s="27" t="s">
        <v>343</v>
      </c>
      <c r="AN34" s="27" t="s">
        <v>343</v>
      </c>
      <c r="AO34" s="27" t="s">
        <v>343</v>
      </c>
      <c r="AP34" s="27" t="s">
        <v>275</v>
      </c>
      <c r="AQ34" s="27" t="s">
        <v>275</v>
      </c>
      <c r="AR34" s="27" t="s">
        <v>343</v>
      </c>
      <c r="AS34" s="5"/>
      <c r="AT34" s="5"/>
      <c r="AU34" s="23"/>
      <c r="AV34" s="23"/>
      <c r="AW34" s="5"/>
      <c r="AX34" s="5"/>
      <c r="AY34" s="5"/>
      <c r="AZ34" s="5"/>
      <c r="BA34" s="5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</row>
    <row r="35" spans="1:77" s="6" customFormat="1">
      <c r="A35" s="10" t="s">
        <v>283</v>
      </c>
      <c r="B35" s="36">
        <v>4130221990</v>
      </c>
      <c r="C35" s="27" t="s">
        <v>285</v>
      </c>
      <c r="D35" s="10" t="s">
        <v>286</v>
      </c>
      <c r="E35" s="27" t="s">
        <v>4</v>
      </c>
      <c r="F35" s="27" t="s">
        <v>99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5"/>
      <c r="W35" s="5"/>
      <c r="X35" s="3"/>
      <c r="Y35" s="3"/>
      <c r="Z35" s="5"/>
      <c r="AA35" s="5"/>
      <c r="AB35" s="5"/>
      <c r="AC35" s="3"/>
      <c r="AD35" s="27"/>
      <c r="AE35" s="5"/>
      <c r="AF35" s="3"/>
      <c r="AH35" s="3" t="s">
        <v>172</v>
      </c>
      <c r="AI35" s="5" t="s">
        <v>172</v>
      </c>
      <c r="AJ35" s="5" t="s">
        <v>172</v>
      </c>
      <c r="AK35" s="5" t="s">
        <v>172</v>
      </c>
      <c r="AL35" s="5" t="s">
        <v>323</v>
      </c>
      <c r="AM35" s="27" t="s">
        <v>172</v>
      </c>
      <c r="AN35" s="27" t="s">
        <v>323</v>
      </c>
      <c r="AO35" s="27" t="s">
        <v>323</v>
      </c>
      <c r="AP35" s="27" t="s">
        <v>323</v>
      </c>
      <c r="AQ35" s="27" t="s">
        <v>323</v>
      </c>
      <c r="AR35" s="27" t="s">
        <v>323</v>
      </c>
      <c r="AS35" s="27" t="s">
        <v>323</v>
      </c>
      <c r="AT35" s="27" t="s">
        <v>323</v>
      </c>
      <c r="AU35" s="3" t="s">
        <v>323</v>
      </c>
      <c r="AV35" s="27" t="s">
        <v>450</v>
      </c>
      <c r="AW35" s="5" t="s">
        <v>323</v>
      </c>
      <c r="AX35" s="5" t="s">
        <v>323</v>
      </c>
      <c r="AY35" s="5" t="s">
        <v>450</v>
      </c>
      <c r="AZ35" s="5" t="s">
        <v>450</v>
      </c>
      <c r="BA35" s="5" t="s">
        <v>450</v>
      </c>
      <c r="BB35" s="5" t="s">
        <v>450</v>
      </c>
      <c r="BC35" s="3"/>
      <c r="BD35" s="5"/>
      <c r="BE35" s="5"/>
      <c r="BF35" s="3"/>
      <c r="BG35" s="3"/>
      <c r="BH35" s="3"/>
      <c r="BI35" s="3"/>
      <c r="BJ35" s="5"/>
      <c r="BK35" s="3"/>
      <c r="BL35" s="5"/>
      <c r="BM35" s="3"/>
      <c r="BN35" s="3"/>
      <c r="BO35" s="5"/>
      <c r="BP35" s="3"/>
      <c r="BQ35" s="3"/>
      <c r="BR35" s="3"/>
      <c r="BS35" s="3"/>
      <c r="BT35" s="3"/>
      <c r="BU35" s="3"/>
      <c r="BV35" s="3"/>
      <c r="BW35" s="3"/>
      <c r="BX35" s="3"/>
      <c r="BY35" s="3"/>
    </row>
    <row r="36" spans="1:77" s="6" customFormat="1">
      <c r="A36" s="10" t="s">
        <v>8</v>
      </c>
      <c r="B36" s="37" t="s">
        <v>8</v>
      </c>
      <c r="C36" s="27" t="s">
        <v>352</v>
      </c>
      <c r="D36" s="6" t="s">
        <v>476</v>
      </c>
      <c r="E36" s="27" t="s">
        <v>4</v>
      </c>
      <c r="F36" s="27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23"/>
      <c r="T36" s="5"/>
      <c r="U36" s="5"/>
      <c r="V36" s="5"/>
      <c r="W36" s="5"/>
      <c r="X36" s="5"/>
      <c r="Y36" s="3"/>
      <c r="Z36" s="5"/>
      <c r="AA36" s="5"/>
      <c r="AB36" s="5"/>
      <c r="AC36" s="3"/>
      <c r="AD36" s="27"/>
      <c r="AE36" s="5"/>
      <c r="AF36" s="3"/>
      <c r="AG36" s="27"/>
      <c r="AH36" s="27" t="s">
        <v>268</v>
      </c>
      <c r="AI36" s="27"/>
      <c r="AJ36" s="3" t="s">
        <v>295</v>
      </c>
      <c r="AK36" s="5" t="s">
        <v>312</v>
      </c>
      <c r="AL36" s="5" t="s">
        <v>332</v>
      </c>
      <c r="AM36" s="27" t="s">
        <v>345</v>
      </c>
      <c r="AN36" s="27" t="s">
        <v>345</v>
      </c>
      <c r="AO36" s="27" t="s">
        <v>367</v>
      </c>
      <c r="AP36" s="27" t="s">
        <v>332</v>
      </c>
      <c r="AQ36" s="27" t="s">
        <v>332</v>
      </c>
      <c r="AR36" s="27" t="s">
        <v>410</v>
      </c>
      <c r="AS36" s="27" t="s">
        <v>129</v>
      </c>
      <c r="AT36" s="27" t="s">
        <v>129</v>
      </c>
      <c r="AU36" s="3" t="s">
        <v>89</v>
      </c>
      <c r="AV36" s="3" t="s">
        <v>129</v>
      </c>
      <c r="AW36" s="3" t="s">
        <v>129</v>
      </c>
      <c r="AX36" s="3" t="s">
        <v>129</v>
      </c>
      <c r="AY36" s="3" t="s">
        <v>129</v>
      </c>
      <c r="AZ36" s="5" t="s">
        <v>314</v>
      </c>
      <c r="BA36" s="3" t="s">
        <v>496</v>
      </c>
      <c r="BB36" s="3" t="s">
        <v>89</v>
      </c>
      <c r="BC36" s="3" t="s">
        <v>521</v>
      </c>
      <c r="BD36" s="3" t="s">
        <v>538</v>
      </c>
      <c r="BE36" s="5" t="s">
        <v>129</v>
      </c>
      <c r="BF36" s="3" t="s">
        <v>129</v>
      </c>
      <c r="BG36" s="3" t="s">
        <v>129</v>
      </c>
      <c r="BH36" s="3" t="s">
        <v>129</v>
      </c>
      <c r="BI36" s="3" t="s">
        <v>129</v>
      </c>
      <c r="BJ36" s="3" t="s">
        <v>314</v>
      </c>
      <c r="BK36" s="3" t="s">
        <v>129</v>
      </c>
      <c r="BL36" s="3" t="s">
        <v>314</v>
      </c>
      <c r="BM36" s="3" t="s">
        <v>129</v>
      </c>
      <c r="BN36" s="3" t="s">
        <v>129</v>
      </c>
      <c r="BO36" s="3" t="s">
        <v>129</v>
      </c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7" s="6" customFormat="1">
      <c r="A37" s="10" t="s">
        <v>8</v>
      </c>
      <c r="B37" s="43" t="s">
        <v>509</v>
      </c>
      <c r="C37" s="27" t="s">
        <v>307</v>
      </c>
      <c r="D37" s="10" t="s">
        <v>308</v>
      </c>
      <c r="E37" s="5" t="s">
        <v>142</v>
      </c>
      <c r="F37" s="3" t="s">
        <v>99</v>
      </c>
      <c r="G37" s="3"/>
      <c r="H37" s="3"/>
      <c r="I37" s="3"/>
      <c r="J37" s="3"/>
      <c r="K37" s="23"/>
      <c r="L37" s="3"/>
      <c r="M37" s="3"/>
      <c r="N37" s="5"/>
      <c r="O37" s="3"/>
      <c r="P37" s="3"/>
      <c r="Q37" s="3"/>
      <c r="R37" s="5"/>
      <c r="S37" s="5"/>
      <c r="T37" s="5"/>
      <c r="U37" s="5"/>
      <c r="V37" s="5"/>
      <c r="W37" s="5"/>
      <c r="X37" s="5"/>
      <c r="Y37" s="3"/>
      <c r="Z37" s="5"/>
      <c r="AA37" s="5"/>
      <c r="AB37" s="3"/>
      <c r="AC37" s="3"/>
      <c r="AD37" s="3"/>
      <c r="AE37" s="3"/>
      <c r="AF37" s="3"/>
      <c r="AG37" s="3"/>
      <c r="AH37" s="3"/>
      <c r="AI37" s="3"/>
      <c r="AJ37" s="3" t="s">
        <v>309</v>
      </c>
      <c r="AK37" s="3" t="s">
        <v>310</v>
      </c>
      <c r="AL37" s="5"/>
      <c r="AM37" s="3" t="s">
        <v>129</v>
      </c>
      <c r="AN37" s="27" t="s">
        <v>151</v>
      </c>
      <c r="AO37" s="27" t="s">
        <v>129</v>
      </c>
      <c r="AP37" s="27" t="s">
        <v>129</v>
      </c>
      <c r="AQ37" s="27" t="s">
        <v>394</v>
      </c>
      <c r="AR37" s="27" t="s">
        <v>129</v>
      </c>
      <c r="AS37" s="27" t="s">
        <v>420</v>
      </c>
      <c r="AT37" s="27" t="s">
        <v>420</v>
      </c>
      <c r="AU37" s="3" t="s">
        <v>198</v>
      </c>
      <c r="AV37" s="27" t="s">
        <v>288</v>
      </c>
      <c r="AW37" s="5" t="s">
        <v>395</v>
      </c>
      <c r="AX37" s="5" t="s">
        <v>420</v>
      </c>
      <c r="AY37" s="5" t="s">
        <v>187</v>
      </c>
      <c r="AZ37" s="5" t="s">
        <v>311</v>
      </c>
      <c r="BA37" s="5" t="s">
        <v>497</v>
      </c>
      <c r="BB37" s="3" t="s">
        <v>511</v>
      </c>
      <c r="BC37" s="3" t="s">
        <v>187</v>
      </c>
      <c r="BD37" s="5" t="s">
        <v>511</v>
      </c>
      <c r="BE37" s="3" t="s">
        <v>187</v>
      </c>
      <c r="BF37" s="5" t="s">
        <v>297</v>
      </c>
      <c r="BG37" s="3" t="s">
        <v>511</v>
      </c>
      <c r="BH37" s="3" t="s">
        <v>561</v>
      </c>
      <c r="BI37" s="3" t="s">
        <v>511</v>
      </c>
      <c r="BJ37" s="5" t="s">
        <v>231</v>
      </c>
      <c r="BK37" s="3" t="s">
        <v>561</v>
      </c>
      <c r="BL37" s="5" t="s">
        <v>231</v>
      </c>
      <c r="BM37" s="3" t="s">
        <v>265</v>
      </c>
      <c r="BN37" s="3" t="s">
        <v>511</v>
      </c>
      <c r="BO37" s="3" t="s">
        <v>561</v>
      </c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7" s="6" customFormat="1">
      <c r="A38" s="10" t="s">
        <v>8</v>
      </c>
      <c r="B38" s="37" t="s">
        <v>8</v>
      </c>
      <c r="C38" s="27" t="s">
        <v>8</v>
      </c>
      <c r="E38" s="5" t="s">
        <v>4</v>
      </c>
      <c r="F38" s="27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 t="s">
        <v>331</v>
      </c>
      <c r="AL38" s="3" t="s">
        <v>331</v>
      </c>
      <c r="AM38" s="3"/>
      <c r="AN38" s="3"/>
      <c r="AO38" s="5"/>
      <c r="AP38" s="3"/>
      <c r="AQ38" s="5"/>
      <c r="AR38" s="5"/>
      <c r="AS38" s="5"/>
      <c r="AT38" s="5"/>
      <c r="AU38" s="3"/>
      <c r="AV38" s="3"/>
      <c r="AW38" s="5"/>
      <c r="AX38" s="5"/>
      <c r="AY38" s="3"/>
      <c r="AZ38" s="3"/>
      <c r="BA38" s="5"/>
      <c r="BB38" s="3"/>
      <c r="BC38" s="5"/>
      <c r="BD38" s="3"/>
      <c r="BE38" s="5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7" s="6" customFormat="1">
      <c r="A39" s="6" t="s">
        <v>17</v>
      </c>
      <c r="B39" s="42" t="s">
        <v>333</v>
      </c>
      <c r="C39" s="27" t="s">
        <v>334</v>
      </c>
      <c r="D39" s="10" t="s">
        <v>340</v>
      </c>
      <c r="E39" s="5" t="s">
        <v>143</v>
      </c>
      <c r="F39" s="5" t="s">
        <v>99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5"/>
      <c r="R39" s="5"/>
      <c r="S39" s="5"/>
      <c r="T39" s="5"/>
      <c r="U39" s="5"/>
      <c r="V39" s="5"/>
      <c r="W39" s="5"/>
      <c r="X39" s="3"/>
      <c r="Y39" s="3"/>
      <c r="Z39" s="5"/>
      <c r="AA39" s="5"/>
      <c r="AB39" s="5"/>
      <c r="AC39" s="3"/>
      <c r="AD39" s="5"/>
      <c r="AE39" s="5"/>
      <c r="AF39" s="3"/>
      <c r="AG39" s="3"/>
      <c r="AH39" s="5"/>
      <c r="AI39" s="5"/>
      <c r="AJ39" s="3"/>
      <c r="AK39" s="5"/>
      <c r="AL39" s="5" t="s">
        <v>337</v>
      </c>
      <c r="AM39" s="27" t="s">
        <v>350</v>
      </c>
      <c r="AN39" s="27" t="s">
        <v>350</v>
      </c>
      <c r="AO39" s="27" t="s">
        <v>257</v>
      </c>
      <c r="AP39" s="27" t="s">
        <v>257</v>
      </c>
      <c r="AQ39" s="27"/>
      <c r="AR39" s="27"/>
      <c r="AS39" s="3" t="s">
        <v>310</v>
      </c>
      <c r="AT39" s="5"/>
      <c r="AU39" s="3" t="s">
        <v>445</v>
      </c>
      <c r="AV39" s="5"/>
      <c r="AW39" s="5"/>
      <c r="AX39" s="5"/>
      <c r="AY39" s="3" t="s">
        <v>310</v>
      </c>
      <c r="AZ39" s="3"/>
      <c r="BA39" s="3"/>
      <c r="BB39" s="3"/>
      <c r="BC39" s="3" t="s">
        <v>528</v>
      </c>
      <c r="BD39" s="3" t="s">
        <v>134</v>
      </c>
      <c r="BE39" s="3" t="s">
        <v>167</v>
      </c>
      <c r="BF39" s="5" t="s">
        <v>548</v>
      </c>
      <c r="BG39" s="27" t="s">
        <v>256</v>
      </c>
      <c r="BH39" s="5" t="s">
        <v>131</v>
      </c>
      <c r="BI39" s="3" t="s">
        <v>575</v>
      </c>
      <c r="BJ39" s="5" t="s">
        <v>592</v>
      </c>
      <c r="BK39" s="3" t="s">
        <v>397</v>
      </c>
      <c r="BL39" s="3" t="s">
        <v>548</v>
      </c>
      <c r="BM39" s="3" t="s">
        <v>607</v>
      </c>
      <c r="BN39" s="3" t="s">
        <v>371</v>
      </c>
      <c r="BO39" s="3" t="s">
        <v>165</v>
      </c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7" s="6" customFormat="1">
      <c r="A40" s="6" t="s">
        <v>8</v>
      </c>
      <c r="B40" s="37" t="s">
        <v>8</v>
      </c>
      <c r="C40" s="27" t="s">
        <v>335</v>
      </c>
      <c r="D40" s="10" t="s">
        <v>339</v>
      </c>
      <c r="E40" s="5" t="s">
        <v>4</v>
      </c>
      <c r="F40" s="5" t="s">
        <v>99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5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 t="s">
        <v>167</v>
      </c>
      <c r="AM40" s="3" t="s">
        <v>131</v>
      </c>
      <c r="AN40" s="3" t="s">
        <v>362</v>
      </c>
      <c r="AO40" s="27" t="s">
        <v>131</v>
      </c>
      <c r="AP40" s="27" t="s">
        <v>102</v>
      </c>
      <c r="AQ40" s="27" t="s">
        <v>397</v>
      </c>
      <c r="AR40" s="27" t="s">
        <v>414</v>
      </c>
      <c r="AS40" s="27" t="s">
        <v>431</v>
      </c>
      <c r="AT40" s="27" t="s">
        <v>438</v>
      </c>
      <c r="AU40" s="3" t="s">
        <v>446</v>
      </c>
      <c r="AV40" s="3" t="s">
        <v>438</v>
      </c>
      <c r="AW40" s="3" t="s">
        <v>431</v>
      </c>
      <c r="AX40" s="3" t="s">
        <v>468</v>
      </c>
      <c r="AY40" s="3" t="s">
        <v>468</v>
      </c>
      <c r="AZ40" s="3" t="s">
        <v>319</v>
      </c>
      <c r="BA40" s="3" t="s">
        <v>468</v>
      </c>
      <c r="BB40" s="3" t="s">
        <v>217</v>
      </c>
      <c r="BC40" s="3" t="s">
        <v>421</v>
      </c>
      <c r="BD40" s="3" t="s">
        <v>468</v>
      </c>
      <c r="BE40" s="3" t="s">
        <v>541</v>
      </c>
      <c r="BF40" s="3" t="s">
        <v>541</v>
      </c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7" s="6" customFormat="1">
      <c r="A41" s="6" t="s">
        <v>8</v>
      </c>
      <c r="B41" s="38" t="s">
        <v>8</v>
      </c>
      <c r="C41" s="27" t="s">
        <v>336</v>
      </c>
      <c r="D41" s="6" t="s">
        <v>341</v>
      </c>
      <c r="E41" s="3" t="s">
        <v>4</v>
      </c>
      <c r="F41" s="5" t="s">
        <v>99</v>
      </c>
      <c r="G41" s="5"/>
      <c r="H41" s="5"/>
      <c r="I41" s="3"/>
      <c r="J41" s="3"/>
      <c r="K41" s="3"/>
      <c r="L41" s="3"/>
      <c r="M41" s="3"/>
      <c r="N41" s="3"/>
      <c r="O41" s="3"/>
      <c r="P41" s="3"/>
      <c r="Q41" s="3"/>
      <c r="R41" s="3"/>
      <c r="S41" s="5"/>
      <c r="T41" s="5"/>
      <c r="U41" s="5"/>
      <c r="V41" s="5"/>
      <c r="W41" s="3"/>
      <c r="X41" s="5"/>
      <c r="Y41" s="3"/>
      <c r="Z41" s="5"/>
      <c r="AA41" s="5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5" t="s">
        <v>338</v>
      </c>
      <c r="AM41" s="3" t="s">
        <v>277</v>
      </c>
      <c r="AN41" s="3" t="s">
        <v>358</v>
      </c>
      <c r="AO41" s="27" t="s">
        <v>277</v>
      </c>
      <c r="AP41" s="27" t="s">
        <v>277</v>
      </c>
      <c r="AQ41" s="27" t="s">
        <v>277</v>
      </c>
      <c r="AR41" s="27" t="s">
        <v>411</v>
      </c>
      <c r="AS41" s="27" t="s">
        <v>411</v>
      </c>
      <c r="AT41" s="27" t="s">
        <v>435</v>
      </c>
      <c r="AU41" s="3" t="s">
        <v>88</v>
      </c>
      <c r="AV41" s="27" t="s">
        <v>344</v>
      </c>
      <c r="AW41" s="5" t="s">
        <v>344</v>
      </c>
      <c r="AX41" s="5" t="s">
        <v>435</v>
      </c>
      <c r="AY41" s="3" t="s">
        <v>344</v>
      </c>
      <c r="AZ41" s="3" t="s">
        <v>435</v>
      </c>
      <c r="BA41" s="5" t="s">
        <v>344</v>
      </c>
      <c r="BB41" s="3" t="s">
        <v>187</v>
      </c>
      <c r="BC41" s="3" t="s">
        <v>344</v>
      </c>
      <c r="BD41" s="3" t="s">
        <v>344</v>
      </c>
      <c r="BE41" s="3" t="s">
        <v>344</v>
      </c>
      <c r="BF41" s="3" t="s">
        <v>545</v>
      </c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7" s="6" customFormat="1">
      <c r="A42" s="6" t="s">
        <v>8</v>
      </c>
      <c r="B42" s="34" t="s">
        <v>8</v>
      </c>
      <c r="C42" s="27" t="s">
        <v>8</v>
      </c>
      <c r="E42" s="5" t="s">
        <v>342</v>
      </c>
      <c r="F42" s="27"/>
      <c r="G42" s="3"/>
      <c r="H42" s="3"/>
      <c r="I42" s="3"/>
      <c r="J42" s="3"/>
      <c r="K42" s="3"/>
      <c r="L42" s="3"/>
      <c r="M42" s="3"/>
      <c r="N42" s="5"/>
      <c r="O42" s="3"/>
      <c r="P42" s="3"/>
      <c r="Q42" s="5"/>
      <c r="R42" s="5"/>
      <c r="S42" s="5"/>
      <c r="T42" s="5"/>
      <c r="U42" s="5"/>
      <c r="V42" s="3"/>
      <c r="W42" s="5"/>
      <c r="X42" s="5"/>
      <c r="Y42" s="5"/>
      <c r="Z42" s="5"/>
      <c r="AA42" s="5"/>
      <c r="AB42" s="5"/>
      <c r="AC42" s="3"/>
      <c r="AD42" s="5"/>
      <c r="AE42" s="5"/>
      <c r="AF42" s="3"/>
      <c r="AG42" s="5"/>
      <c r="AH42" s="5"/>
      <c r="AI42" s="5"/>
      <c r="AJ42" s="5"/>
      <c r="AK42" s="5"/>
      <c r="AL42" s="5" t="s">
        <v>310</v>
      </c>
      <c r="AM42" s="3"/>
      <c r="AN42" s="5"/>
      <c r="AO42" s="3"/>
      <c r="AP42" s="3"/>
      <c r="AQ42" s="5"/>
      <c r="AR42" s="27"/>
      <c r="AS42" s="3"/>
      <c r="AT42" s="5"/>
      <c r="AU42" s="3"/>
      <c r="AV42" s="5"/>
      <c r="AW42" s="5"/>
      <c r="AX42" s="3"/>
      <c r="AY42" s="3"/>
      <c r="AZ42" s="3"/>
      <c r="BA42" s="3"/>
      <c r="BB42" s="3"/>
      <c r="BC42" s="3"/>
      <c r="BD42" s="3"/>
      <c r="BE42" s="3"/>
      <c r="BF42" s="5"/>
      <c r="BG42" s="5"/>
      <c r="BH42" s="5"/>
      <c r="BI42" s="3"/>
      <c r="BJ42" s="5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7" s="6" customFormat="1">
      <c r="A43" s="10" t="s">
        <v>8</v>
      </c>
      <c r="B43" s="43" t="s">
        <v>353</v>
      </c>
      <c r="C43" s="27" t="s">
        <v>354</v>
      </c>
      <c r="D43" s="6" t="s">
        <v>355</v>
      </c>
      <c r="E43" s="3" t="s">
        <v>142</v>
      </c>
      <c r="F43" s="27" t="s">
        <v>99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 t="s">
        <v>356</v>
      </c>
      <c r="AN43" s="3" t="s">
        <v>357</v>
      </c>
      <c r="AO43" s="3" t="s">
        <v>371</v>
      </c>
      <c r="AP43" s="3" t="s">
        <v>134</v>
      </c>
      <c r="AQ43" s="3" t="s">
        <v>371</v>
      </c>
      <c r="AR43" s="27" t="s">
        <v>134</v>
      </c>
      <c r="AS43" s="27" t="s">
        <v>150</v>
      </c>
      <c r="AT43" s="30">
        <v>2212</v>
      </c>
      <c r="AU43" s="3" t="s">
        <v>448</v>
      </c>
      <c r="AV43" s="3" t="s">
        <v>256</v>
      </c>
      <c r="AW43" s="5" t="s">
        <v>463</v>
      </c>
      <c r="AX43" s="3" t="s">
        <v>166</v>
      </c>
      <c r="AY43" s="3" t="s">
        <v>150</v>
      </c>
      <c r="AZ43" s="3" t="s">
        <v>150</v>
      </c>
      <c r="BA43" s="5" t="s">
        <v>150</v>
      </c>
      <c r="BB43" s="3" t="s">
        <v>134</v>
      </c>
      <c r="BC43" s="3" t="s">
        <v>150</v>
      </c>
      <c r="BD43" s="3"/>
      <c r="BE43" s="5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</row>
    <row r="44" spans="1:77" s="6" customFormat="1">
      <c r="A44" s="10" t="s">
        <v>8</v>
      </c>
      <c r="B44" s="34" t="s">
        <v>8</v>
      </c>
      <c r="C44" s="27" t="s">
        <v>375</v>
      </c>
      <c r="D44" s="6" t="s">
        <v>376</v>
      </c>
      <c r="E44" s="27" t="s">
        <v>4</v>
      </c>
      <c r="F44" s="27" t="s">
        <v>99</v>
      </c>
      <c r="G44" s="3"/>
      <c r="H44" s="3"/>
      <c r="I44" s="3"/>
      <c r="J44" s="5"/>
      <c r="K44" s="3"/>
      <c r="L44" s="3"/>
      <c r="M44" s="5"/>
      <c r="N44" s="3"/>
      <c r="O44" s="3"/>
      <c r="P44" s="3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3"/>
      <c r="AC44" s="3"/>
      <c r="AD44" s="3"/>
      <c r="AE44" s="5"/>
      <c r="AF44" s="3"/>
      <c r="AG44" s="3"/>
      <c r="AH44" s="5"/>
      <c r="AI44" s="5"/>
      <c r="AJ44" s="3"/>
      <c r="AK44" s="3"/>
      <c r="AL44" s="5"/>
      <c r="AM44" s="27"/>
      <c r="AN44" s="5"/>
      <c r="AO44" s="3" t="s">
        <v>377</v>
      </c>
      <c r="AP44" s="27" t="s">
        <v>245</v>
      </c>
      <c r="AQ44" s="3" t="s">
        <v>401</v>
      </c>
      <c r="AR44" s="3" t="s">
        <v>175</v>
      </c>
      <c r="AS44" s="3" t="s">
        <v>245</v>
      </c>
      <c r="AT44" s="27" t="s">
        <v>441</v>
      </c>
      <c r="AU44" s="3" t="s">
        <v>126</v>
      </c>
      <c r="AV44" s="27" t="s">
        <v>457</v>
      </c>
      <c r="AW44" s="3" t="s">
        <v>131</v>
      </c>
      <c r="AX44" s="3" t="s">
        <v>256</v>
      </c>
      <c r="AY44" s="3" t="s">
        <v>401</v>
      </c>
      <c r="AZ44" s="3" t="s">
        <v>489</v>
      </c>
      <c r="BA44" s="3" t="s">
        <v>401</v>
      </c>
      <c r="BB44" s="3" t="s">
        <v>512</v>
      </c>
      <c r="BC44" s="3" t="s">
        <v>377</v>
      </c>
      <c r="BD44" s="3" t="s">
        <v>489</v>
      </c>
      <c r="BE44" s="3" t="s">
        <v>126</v>
      </c>
      <c r="BF44" s="3" t="s">
        <v>245</v>
      </c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</row>
    <row r="45" spans="1:77" s="6" customFormat="1">
      <c r="A45" s="10" t="s">
        <v>8</v>
      </c>
      <c r="B45" s="37" t="s">
        <v>8</v>
      </c>
      <c r="C45" s="27" t="s">
        <v>383</v>
      </c>
      <c r="D45" s="6" t="s">
        <v>385</v>
      </c>
      <c r="E45" s="27" t="s">
        <v>4</v>
      </c>
      <c r="F45" s="27" t="s">
        <v>99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5"/>
      <c r="AJ45" s="5"/>
      <c r="AK45" s="3"/>
      <c r="AL45" s="5"/>
      <c r="AM45" s="27"/>
      <c r="AN45" s="5"/>
      <c r="AO45" s="5"/>
      <c r="AP45" s="27" t="s">
        <v>387</v>
      </c>
      <c r="AQ45" s="3" t="s">
        <v>400</v>
      </c>
      <c r="AR45" s="3" t="s">
        <v>350</v>
      </c>
      <c r="AS45" s="3" t="s">
        <v>182</v>
      </c>
      <c r="AT45" s="27" t="s">
        <v>182</v>
      </c>
      <c r="AU45" s="3" t="s">
        <v>224</v>
      </c>
      <c r="AV45" s="3" t="s">
        <v>182</v>
      </c>
      <c r="AW45" s="5" t="s">
        <v>182</v>
      </c>
      <c r="AX45" s="3" t="s">
        <v>182</v>
      </c>
      <c r="AY45" s="3" t="s">
        <v>182</v>
      </c>
      <c r="AZ45" s="3" t="s">
        <v>182</v>
      </c>
      <c r="BA45" s="5"/>
      <c r="BB45" s="3" t="s">
        <v>182</v>
      </c>
      <c r="BC45" s="3" t="s">
        <v>526</v>
      </c>
      <c r="BD45" s="5" t="s">
        <v>526</v>
      </c>
      <c r="BE45" s="3" t="s">
        <v>415</v>
      </c>
      <c r="BF45" s="5"/>
      <c r="BG45" s="3"/>
      <c r="BH45" s="3"/>
      <c r="BI45" s="3"/>
      <c r="BJ45" s="3"/>
      <c r="BK45" s="3"/>
      <c r="BL45" s="5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</row>
    <row r="46" spans="1:77" s="6" customFormat="1">
      <c r="A46" s="10" t="s">
        <v>8</v>
      </c>
      <c r="B46" s="37" t="s">
        <v>8</v>
      </c>
      <c r="C46" s="10" t="s">
        <v>384</v>
      </c>
      <c r="D46" s="10" t="s">
        <v>386</v>
      </c>
      <c r="E46" s="27" t="s">
        <v>4</v>
      </c>
      <c r="F46" s="27" t="s">
        <v>99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5"/>
      <c r="V46" s="3"/>
      <c r="W46" s="5"/>
      <c r="X46" s="3"/>
      <c r="Y46" s="3"/>
      <c r="Z46" s="5"/>
      <c r="AA46" s="5"/>
      <c r="AB46" s="5"/>
      <c r="AC46" s="3"/>
      <c r="AD46" s="5"/>
      <c r="AE46" s="5"/>
      <c r="AF46" s="3"/>
      <c r="AG46" s="3"/>
      <c r="AH46" s="3"/>
      <c r="AI46" s="3"/>
      <c r="AJ46" s="5"/>
      <c r="AK46" s="3"/>
      <c r="AL46" s="5"/>
      <c r="AM46" s="3"/>
      <c r="AN46" s="3"/>
      <c r="AO46" s="5"/>
      <c r="AP46" s="3" t="s">
        <v>240</v>
      </c>
      <c r="AQ46" s="3" t="s">
        <v>358</v>
      </c>
      <c r="AR46" s="27" t="s">
        <v>338</v>
      </c>
      <c r="AS46" s="3" t="s">
        <v>358</v>
      </c>
      <c r="AT46" s="3" t="s">
        <v>434</v>
      </c>
      <c r="AU46" s="3" t="s">
        <v>358</v>
      </c>
      <c r="AV46" s="3" t="s">
        <v>358</v>
      </c>
      <c r="AW46" s="3" t="s">
        <v>358</v>
      </c>
      <c r="AX46" s="3" t="s">
        <v>277</v>
      </c>
      <c r="AY46" s="3" t="s">
        <v>358</v>
      </c>
      <c r="AZ46" s="3" t="s">
        <v>358</v>
      </c>
      <c r="BA46" s="3" t="s">
        <v>358</v>
      </c>
      <c r="BB46" s="3" t="s">
        <v>288</v>
      </c>
      <c r="BC46" s="3" t="s">
        <v>434</v>
      </c>
      <c r="BD46" s="3" t="s">
        <v>323</v>
      </c>
      <c r="BE46" s="3" t="s">
        <v>358</v>
      </c>
      <c r="BF46" s="3" t="s">
        <v>235</v>
      </c>
      <c r="BG46" s="3" t="s">
        <v>88</v>
      </c>
      <c r="BH46" s="3" t="s">
        <v>434</v>
      </c>
      <c r="BI46" s="3" t="s">
        <v>172</v>
      </c>
      <c r="BJ46" s="3" t="s">
        <v>358</v>
      </c>
      <c r="BK46" s="3" t="s">
        <v>358</v>
      </c>
      <c r="BL46" s="3" t="s">
        <v>434</v>
      </c>
      <c r="BM46" s="3" t="s">
        <v>434</v>
      </c>
      <c r="BN46" s="3" t="s">
        <v>615</v>
      </c>
      <c r="BO46" s="3" t="s">
        <v>434</v>
      </c>
      <c r="BP46" s="3"/>
      <c r="BQ46" s="3"/>
      <c r="BR46" s="3"/>
      <c r="BS46" s="3"/>
      <c r="BT46" s="3"/>
      <c r="BU46" s="3"/>
      <c r="BV46" s="3"/>
      <c r="BW46" s="3"/>
      <c r="BX46" s="3"/>
      <c r="BY46" s="3"/>
    </row>
    <row r="47" spans="1:77" s="6" customFormat="1">
      <c r="A47" s="10" t="s">
        <v>8</v>
      </c>
      <c r="B47" s="37" t="s">
        <v>8</v>
      </c>
      <c r="C47" s="27" t="s">
        <v>406</v>
      </c>
      <c r="D47" s="10" t="s">
        <v>407</v>
      </c>
      <c r="E47" s="27" t="s">
        <v>4</v>
      </c>
      <c r="F47" s="27" t="s">
        <v>99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5"/>
      <c r="AH47" s="3"/>
      <c r="AI47" s="3"/>
      <c r="AJ47" s="3"/>
      <c r="AK47" s="3"/>
      <c r="AL47" s="5"/>
      <c r="AM47" s="5"/>
      <c r="AN47" s="5"/>
      <c r="AO47" s="3"/>
      <c r="AP47" s="5"/>
      <c r="AQ47" s="27" t="s">
        <v>192</v>
      </c>
      <c r="AR47" s="27" t="s">
        <v>316</v>
      </c>
      <c r="AS47" s="27" t="s">
        <v>427</v>
      </c>
      <c r="AT47" s="27" t="s">
        <v>209</v>
      </c>
      <c r="AU47" s="3" t="s">
        <v>209</v>
      </c>
      <c r="AV47" s="27" t="s">
        <v>199</v>
      </c>
      <c r="AW47" s="5" t="s">
        <v>427</v>
      </c>
      <c r="AX47" s="5" t="s">
        <v>427</v>
      </c>
      <c r="AY47" s="3" t="s">
        <v>155</v>
      </c>
      <c r="AZ47" s="3" t="s">
        <v>145</v>
      </c>
      <c r="BA47" s="3" t="s">
        <v>155</v>
      </c>
      <c r="BB47" s="3"/>
      <c r="BC47" s="3" t="s">
        <v>427</v>
      </c>
      <c r="BD47" s="3" t="s">
        <v>197</v>
      </c>
      <c r="BE47" s="3" t="s">
        <v>197</v>
      </c>
      <c r="BF47" s="5" t="s">
        <v>197</v>
      </c>
      <c r="BG47" s="3" t="s">
        <v>210</v>
      </c>
      <c r="BH47" s="3"/>
      <c r="BI47" s="3" t="s">
        <v>316</v>
      </c>
      <c r="BJ47" s="5" t="s">
        <v>316</v>
      </c>
      <c r="BK47" s="3" t="s">
        <v>316</v>
      </c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</row>
    <row r="48" spans="1:77" s="6" customFormat="1">
      <c r="A48" s="10" t="s">
        <v>8</v>
      </c>
      <c r="B48" s="37" t="s">
        <v>8</v>
      </c>
      <c r="C48" s="27" t="s">
        <v>419</v>
      </c>
      <c r="D48" s="10" t="s">
        <v>423</v>
      </c>
      <c r="E48" s="27" t="s">
        <v>4</v>
      </c>
      <c r="F48" s="27" t="s">
        <v>99</v>
      </c>
      <c r="G48" s="3"/>
      <c r="H48" s="3"/>
      <c r="I48" s="5"/>
      <c r="J48" s="3"/>
      <c r="K48" s="3"/>
      <c r="L48" s="3"/>
      <c r="M48" s="3"/>
      <c r="N48" s="3"/>
      <c r="O48" s="3"/>
      <c r="P48" s="3"/>
      <c r="Q48" s="3"/>
      <c r="R48" s="3"/>
      <c r="S48" s="5"/>
      <c r="T48" s="3"/>
      <c r="U48" s="5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27" t="s">
        <v>362</v>
      </c>
      <c r="AS48" s="3" t="s">
        <v>154</v>
      </c>
      <c r="AT48" s="3" t="s">
        <v>440</v>
      </c>
      <c r="AU48" s="3" t="s">
        <v>447</v>
      </c>
      <c r="AV48" s="3" t="s">
        <v>102</v>
      </c>
      <c r="AW48" s="3" t="s">
        <v>440</v>
      </c>
      <c r="AX48" s="3" t="s">
        <v>470</v>
      </c>
      <c r="AY48" s="3" t="s">
        <v>480</v>
      </c>
      <c r="AZ48" s="3" t="s">
        <v>480</v>
      </c>
      <c r="BA48" s="3" t="s">
        <v>219</v>
      </c>
      <c r="BB48" s="3" t="s">
        <v>447</v>
      </c>
      <c r="BC48" s="3" t="s">
        <v>154</v>
      </c>
      <c r="BD48" s="3" t="s">
        <v>362</v>
      </c>
      <c r="BE48" s="3" t="s">
        <v>447</v>
      </c>
      <c r="BF48" s="3" t="s">
        <v>328</v>
      </c>
      <c r="BG48" s="3" t="s">
        <v>551</v>
      </c>
      <c r="BH48" s="3" t="s">
        <v>440</v>
      </c>
      <c r="BI48" s="3" t="s">
        <v>573</v>
      </c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</row>
    <row r="49" spans="1:77" s="6" customFormat="1">
      <c r="A49" s="10" t="s">
        <v>8</v>
      </c>
      <c r="B49" s="37" t="s">
        <v>8</v>
      </c>
      <c r="C49" s="27" t="s">
        <v>424</v>
      </c>
      <c r="D49" s="10" t="s">
        <v>425</v>
      </c>
      <c r="E49" s="27" t="s">
        <v>4</v>
      </c>
      <c r="F49" s="27" t="s">
        <v>99</v>
      </c>
      <c r="G49" s="5"/>
      <c r="H49" s="5"/>
      <c r="I49" s="3"/>
      <c r="J49" s="3"/>
      <c r="K49" s="3"/>
      <c r="L49" s="3"/>
      <c r="M49" s="3"/>
      <c r="N49" s="3"/>
      <c r="O49" s="3"/>
      <c r="P49" s="3"/>
      <c r="Q49" s="3"/>
      <c r="R49" s="5"/>
      <c r="S49" s="3"/>
      <c r="T49" s="5"/>
      <c r="U49" s="5"/>
      <c r="V49" s="5"/>
      <c r="W49" s="3"/>
      <c r="X49" s="3"/>
      <c r="Y49" s="3"/>
      <c r="Z49" s="5"/>
      <c r="AA49" s="5"/>
      <c r="AB49" s="3"/>
      <c r="AC49" s="5"/>
      <c r="AD49" s="3"/>
      <c r="AE49" s="3"/>
      <c r="AF49" s="3"/>
      <c r="AG49" s="3"/>
      <c r="AH49" s="3"/>
      <c r="AI49" s="3"/>
      <c r="AJ49" s="3"/>
      <c r="AK49" s="3"/>
      <c r="AL49" s="5"/>
      <c r="AM49" s="3"/>
      <c r="AN49" s="5"/>
      <c r="AO49" s="5"/>
      <c r="AP49" s="5"/>
      <c r="AQ49" s="3"/>
      <c r="AR49" s="5"/>
      <c r="AS49" s="27" t="s">
        <v>426</v>
      </c>
      <c r="AT49" s="3" t="s">
        <v>442</v>
      </c>
      <c r="AU49" s="3" t="s">
        <v>443</v>
      </c>
      <c r="AV49" s="27" t="s">
        <v>451</v>
      </c>
      <c r="AW49" s="5" t="s">
        <v>451</v>
      </c>
      <c r="AX49" s="5"/>
      <c r="AY49" s="3"/>
      <c r="AZ49" s="3"/>
      <c r="BA49" s="3"/>
      <c r="BB49" s="3"/>
      <c r="BC49" s="3"/>
      <c r="BD49" s="3"/>
      <c r="BE49" s="5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</row>
    <row r="50" spans="1:77" s="6" customFormat="1">
      <c r="A50" s="10" t="s">
        <v>8</v>
      </c>
      <c r="B50" s="34" t="s">
        <v>520</v>
      </c>
      <c r="C50" s="3" t="s">
        <v>503</v>
      </c>
      <c r="D50" s="6" t="s">
        <v>474</v>
      </c>
      <c r="E50" s="5" t="s">
        <v>524</v>
      </c>
      <c r="F50" s="5" t="s">
        <v>99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5"/>
      <c r="AJ50" s="3"/>
      <c r="AK50" s="5"/>
      <c r="AL50" s="5"/>
      <c r="AM50" s="5"/>
      <c r="AN50" s="3"/>
      <c r="AO50" s="5"/>
      <c r="AP50" s="5"/>
      <c r="AQ50" s="5"/>
      <c r="AR50" s="5"/>
      <c r="AS50" s="5"/>
      <c r="AT50" s="5"/>
      <c r="AU50" s="3"/>
      <c r="AV50" s="5"/>
      <c r="AW50" s="5" t="s">
        <v>465</v>
      </c>
      <c r="AX50" s="5" t="s">
        <v>473</v>
      </c>
      <c r="AY50" s="3" t="s">
        <v>310</v>
      </c>
      <c r="AZ50" s="3" t="s">
        <v>405</v>
      </c>
      <c r="BA50" s="5" t="s">
        <v>330</v>
      </c>
      <c r="BB50" s="3" t="s">
        <v>514</v>
      </c>
      <c r="BC50" s="3" t="s">
        <v>241</v>
      </c>
      <c r="BD50" s="3" t="s">
        <v>279</v>
      </c>
      <c r="BE50" s="3" t="s">
        <v>251</v>
      </c>
      <c r="BF50" s="3" t="s">
        <v>396</v>
      </c>
      <c r="BG50" s="3" t="s">
        <v>396</v>
      </c>
      <c r="BH50" s="3" t="s">
        <v>396</v>
      </c>
      <c r="BI50" s="3" t="s">
        <v>266</v>
      </c>
      <c r="BJ50" s="3" t="s">
        <v>590</v>
      </c>
      <c r="BK50" s="3"/>
      <c r="BL50" s="3"/>
      <c r="BM50" s="3" t="s">
        <v>427</v>
      </c>
      <c r="BN50" s="3" t="s">
        <v>169</v>
      </c>
      <c r="BO50" s="3" t="s">
        <v>232</v>
      </c>
      <c r="BP50" s="3"/>
      <c r="BQ50" s="3"/>
      <c r="BR50" s="3"/>
      <c r="BS50" s="3"/>
      <c r="BT50" s="3"/>
      <c r="BU50" s="3"/>
      <c r="BV50" s="3"/>
      <c r="BW50" s="3"/>
      <c r="BX50" s="3"/>
      <c r="BY50" s="3"/>
    </row>
    <row r="51" spans="1:77" s="6" customFormat="1">
      <c r="A51" s="10" t="s">
        <v>8</v>
      </c>
      <c r="B51" s="37" t="s">
        <v>475</v>
      </c>
      <c r="C51" s="3" t="s">
        <v>8</v>
      </c>
      <c r="D51" s="6" t="s">
        <v>477</v>
      </c>
      <c r="E51" s="5" t="s">
        <v>143</v>
      </c>
      <c r="F51" s="5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5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5"/>
      <c r="AO51" s="5"/>
      <c r="AP51" s="5"/>
      <c r="AQ51" s="3"/>
      <c r="AR51" s="3"/>
      <c r="AS51" s="5"/>
      <c r="AT51" s="5"/>
      <c r="AU51" s="3"/>
      <c r="AV51" s="3"/>
      <c r="AW51" s="3"/>
      <c r="AX51" s="5" t="s">
        <v>478</v>
      </c>
      <c r="AY51" s="3"/>
      <c r="AZ51" s="3"/>
      <c r="BA51" s="3"/>
      <c r="BB51" s="3"/>
      <c r="BC51" s="5"/>
      <c r="BD51" s="3"/>
      <c r="BE51" s="5"/>
      <c r="BF51" s="5"/>
      <c r="BG51" s="5"/>
      <c r="BH51" s="3"/>
      <c r="BI51" s="3"/>
      <c r="BJ51" s="3"/>
      <c r="BK51" s="3"/>
      <c r="BL51" s="5"/>
      <c r="BM51" s="3"/>
      <c r="BN51" s="3"/>
      <c r="BO51" s="5"/>
      <c r="BP51" s="3"/>
      <c r="BQ51" s="3"/>
      <c r="BR51" s="3"/>
      <c r="BS51" s="3"/>
      <c r="BT51" s="3"/>
      <c r="BU51" s="3"/>
      <c r="BV51" s="3"/>
      <c r="BW51" s="3"/>
      <c r="BX51" s="3"/>
      <c r="BY51" s="3"/>
    </row>
    <row r="52" spans="1:77" s="6" customFormat="1">
      <c r="A52" s="10" t="s">
        <v>8</v>
      </c>
      <c r="B52" s="37" t="s">
        <v>8</v>
      </c>
      <c r="C52" s="3" t="s">
        <v>485</v>
      </c>
      <c r="D52" s="10" t="s">
        <v>479</v>
      </c>
      <c r="E52" s="27" t="s">
        <v>4</v>
      </c>
      <c r="F52" s="5" t="s">
        <v>99</v>
      </c>
      <c r="G52" s="5"/>
      <c r="H52" s="5"/>
      <c r="I52" s="3"/>
      <c r="J52" s="5"/>
      <c r="K52" s="3"/>
      <c r="L52" s="3"/>
      <c r="M52" s="3"/>
      <c r="N52" s="3"/>
      <c r="O52" s="3"/>
      <c r="P52" s="3"/>
      <c r="Q52" s="5"/>
      <c r="R52" s="3"/>
      <c r="S52" s="5"/>
      <c r="T52" s="5"/>
      <c r="U52" s="5"/>
      <c r="V52" s="5"/>
      <c r="W52" s="5"/>
      <c r="X52" s="5"/>
      <c r="Y52" s="5"/>
      <c r="Z52" s="5"/>
      <c r="AA52" s="5"/>
      <c r="AB52" s="3"/>
      <c r="AC52" s="3"/>
      <c r="AD52" s="3"/>
      <c r="AE52" s="5"/>
      <c r="AF52" s="3"/>
      <c r="AG52" s="3"/>
      <c r="AH52" s="5"/>
      <c r="AI52" s="5"/>
      <c r="AJ52" s="3"/>
      <c r="AK52" s="3"/>
      <c r="AL52" s="3"/>
      <c r="AM52" s="5"/>
      <c r="AN52" s="5"/>
      <c r="AO52" s="5"/>
      <c r="AP52" s="5"/>
      <c r="AQ52" s="3"/>
      <c r="AR52" s="5"/>
      <c r="AS52" s="3"/>
      <c r="AT52" s="5"/>
      <c r="AU52" s="3"/>
      <c r="AV52" s="5"/>
      <c r="AW52" s="3"/>
      <c r="AX52" s="3" t="s">
        <v>451</v>
      </c>
      <c r="AY52" s="25"/>
      <c r="AZ52" s="5" t="s">
        <v>487</v>
      </c>
      <c r="BA52" s="3" t="s">
        <v>498</v>
      </c>
      <c r="BB52" s="3" t="s">
        <v>451</v>
      </c>
      <c r="BC52" s="3" t="s">
        <v>451</v>
      </c>
      <c r="BD52" s="3" t="s">
        <v>539</v>
      </c>
      <c r="BE52" s="3" t="s">
        <v>539</v>
      </c>
      <c r="BF52" s="3"/>
      <c r="BG52" s="3"/>
      <c r="BH52" s="3"/>
      <c r="BI52" s="3" t="s">
        <v>572</v>
      </c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</row>
    <row r="53" spans="1:77" s="6" customFormat="1">
      <c r="A53" s="10" t="s">
        <v>8</v>
      </c>
      <c r="B53" s="37" t="s">
        <v>8</v>
      </c>
      <c r="C53" s="27" t="s">
        <v>483</v>
      </c>
      <c r="D53" s="10" t="s">
        <v>484</v>
      </c>
      <c r="E53" s="8" t="s">
        <v>4</v>
      </c>
      <c r="F53" s="5" t="s">
        <v>99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5"/>
      <c r="R53" s="3"/>
      <c r="S53" s="5"/>
      <c r="T53" s="5"/>
      <c r="U53" s="5"/>
      <c r="V53" s="3"/>
      <c r="W53" s="5"/>
      <c r="X53" s="5"/>
      <c r="Y53" s="3"/>
      <c r="Z53" s="3"/>
      <c r="AA53" s="5"/>
      <c r="AB53" s="3"/>
      <c r="AC53" s="3"/>
      <c r="AD53" s="3"/>
      <c r="AE53" s="5"/>
      <c r="AF53" s="3"/>
      <c r="AG53" s="3"/>
      <c r="AH53" s="5"/>
      <c r="AI53" s="5"/>
      <c r="AJ53" s="3"/>
      <c r="AK53" s="3"/>
      <c r="AL53" s="3"/>
      <c r="AM53" s="5"/>
      <c r="AN53" s="5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 t="s">
        <v>192</v>
      </c>
      <c r="AZ53" s="5"/>
      <c r="BA53" s="3" t="s">
        <v>310</v>
      </c>
      <c r="BB53" s="3" t="s">
        <v>310</v>
      </c>
      <c r="BC53" s="3"/>
      <c r="BD53" s="3"/>
      <c r="BE53" s="3"/>
      <c r="BF53" s="5"/>
      <c r="BG53" s="5"/>
      <c r="BH53" s="5"/>
      <c r="BI53" s="3"/>
      <c r="BJ53" s="3"/>
      <c r="BK53" s="3"/>
      <c r="BL53" s="5"/>
      <c r="BM53" s="3"/>
      <c r="BN53" s="3"/>
      <c r="BO53" s="5"/>
      <c r="BP53" s="3"/>
      <c r="BQ53" s="3"/>
      <c r="BR53" s="3"/>
      <c r="BS53" s="3"/>
      <c r="BT53" s="3"/>
      <c r="BU53" s="3"/>
      <c r="BV53" s="3"/>
      <c r="BW53" s="3"/>
      <c r="BX53" s="3"/>
      <c r="BY53" s="3"/>
    </row>
    <row r="54" spans="1:77" s="6" customFormat="1">
      <c r="A54" s="10" t="s">
        <v>8</v>
      </c>
      <c r="B54" s="37" t="s">
        <v>8</v>
      </c>
      <c r="C54" s="3" t="s">
        <v>491</v>
      </c>
      <c r="D54" s="10" t="s">
        <v>493</v>
      </c>
      <c r="E54" s="8" t="s">
        <v>4</v>
      </c>
      <c r="F54" s="5" t="s">
        <v>99</v>
      </c>
      <c r="G54" s="3"/>
      <c r="H54" s="3"/>
      <c r="I54" s="3"/>
      <c r="J54" s="3"/>
      <c r="K54" s="3"/>
      <c r="L54" s="3"/>
      <c r="M54" s="5"/>
      <c r="N54" s="3"/>
      <c r="O54" s="3"/>
      <c r="P54" s="3"/>
      <c r="Q54" s="3"/>
      <c r="R54" s="3"/>
      <c r="S54" s="3"/>
      <c r="T54" s="3"/>
      <c r="U54" s="5"/>
      <c r="V54" s="3"/>
      <c r="W54" s="5"/>
      <c r="X54" s="5"/>
      <c r="Y54" s="5"/>
      <c r="Z54" s="3"/>
      <c r="AA54" s="5"/>
      <c r="AB54" s="3"/>
      <c r="AC54" s="3"/>
      <c r="AD54" s="3"/>
      <c r="AE54" s="5"/>
      <c r="AF54" s="3"/>
      <c r="AG54" s="3"/>
      <c r="AH54" s="5"/>
      <c r="AI54" s="5"/>
      <c r="AJ54" s="3"/>
      <c r="AK54" s="5"/>
      <c r="AL54" s="3"/>
      <c r="AM54" s="5"/>
      <c r="AN54" s="5"/>
      <c r="AO54" s="3"/>
      <c r="AP54" s="5"/>
      <c r="AQ54" s="3"/>
      <c r="AR54" s="3"/>
      <c r="AS54" s="3"/>
      <c r="AT54" s="5"/>
      <c r="AU54" s="3"/>
      <c r="AV54" s="5"/>
      <c r="AW54" s="5"/>
      <c r="AX54" s="5"/>
      <c r="AY54" s="3"/>
      <c r="AZ54" s="5" t="s">
        <v>495</v>
      </c>
      <c r="BA54" s="3" t="s">
        <v>169</v>
      </c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</row>
    <row r="55" spans="1:77" s="6" customFormat="1">
      <c r="A55" s="10" t="s">
        <v>8</v>
      </c>
      <c r="B55" s="37" t="s">
        <v>8</v>
      </c>
      <c r="C55" s="27" t="s">
        <v>492</v>
      </c>
      <c r="D55" s="10" t="s">
        <v>494</v>
      </c>
      <c r="E55" s="8" t="s">
        <v>4</v>
      </c>
      <c r="F55" s="5" t="s">
        <v>99</v>
      </c>
      <c r="G55" s="3"/>
      <c r="H55" s="3"/>
      <c r="I55" s="3"/>
      <c r="J55" s="3"/>
      <c r="K55" s="3"/>
      <c r="L55" s="3"/>
      <c r="M55" s="3"/>
      <c r="N55" s="3"/>
      <c r="O55" s="3"/>
      <c r="P55" s="5"/>
      <c r="Q55" s="5"/>
      <c r="R55" s="3"/>
      <c r="S55" s="5"/>
      <c r="T55" s="5"/>
      <c r="U55" s="5"/>
      <c r="V55" s="5"/>
      <c r="W55" s="3"/>
      <c r="X55" s="5"/>
      <c r="Y55" s="3"/>
      <c r="Z55" s="5"/>
      <c r="AA55" s="5"/>
      <c r="AB55" s="5"/>
      <c r="AC55" s="5"/>
      <c r="AD55" s="5"/>
      <c r="AE55" s="3"/>
      <c r="AF55" s="3"/>
      <c r="AG55" s="3"/>
      <c r="AH55" s="5"/>
      <c r="AI55" s="5"/>
      <c r="AJ55" s="3"/>
      <c r="AK55" s="3"/>
      <c r="AL55" s="5"/>
      <c r="AM55" s="5"/>
      <c r="AN55" s="5"/>
      <c r="AO55" s="3"/>
      <c r="AP55" s="3"/>
      <c r="AQ55" s="3"/>
      <c r="AR55" s="5"/>
      <c r="AS55" s="3"/>
      <c r="AT55" s="5"/>
      <c r="AU55" s="3"/>
      <c r="AV55" s="3"/>
      <c r="AW55" s="5"/>
      <c r="AX55" s="5"/>
      <c r="AY55" s="3"/>
      <c r="AZ55" s="3" t="s">
        <v>132</v>
      </c>
      <c r="BA55" s="5" t="s">
        <v>280</v>
      </c>
      <c r="BB55" s="5" t="s">
        <v>439</v>
      </c>
      <c r="BC55" s="3" t="s">
        <v>525</v>
      </c>
      <c r="BD55" s="3" t="s">
        <v>132</v>
      </c>
      <c r="BE55" s="3" t="s">
        <v>280</v>
      </c>
      <c r="BF55" s="3" t="s">
        <v>547</v>
      </c>
      <c r="BG55" s="3" t="s">
        <v>98</v>
      </c>
      <c r="BH55" s="3" t="s">
        <v>202</v>
      </c>
      <c r="BI55" s="3" t="s">
        <v>525</v>
      </c>
      <c r="BJ55" s="3" t="s">
        <v>591</v>
      </c>
      <c r="BK55" s="3" t="s">
        <v>597</v>
      </c>
      <c r="BL55" s="5" t="s">
        <v>399</v>
      </c>
      <c r="BM55" s="3" t="s">
        <v>606</v>
      </c>
      <c r="BN55" s="3" t="s">
        <v>525</v>
      </c>
      <c r="BO55" s="27" t="s">
        <v>547</v>
      </c>
      <c r="BP55" s="3"/>
      <c r="BQ55" s="3"/>
      <c r="BR55" s="3"/>
      <c r="BS55" s="3"/>
      <c r="BT55" s="3"/>
      <c r="BU55" s="3"/>
      <c r="BV55" s="3"/>
      <c r="BW55" s="3"/>
      <c r="BX55" s="3"/>
      <c r="BY55" s="3"/>
    </row>
    <row r="56" spans="1:77" s="6" customFormat="1">
      <c r="A56" s="10" t="s">
        <v>8</v>
      </c>
      <c r="B56" s="37" t="s">
        <v>506</v>
      </c>
      <c r="C56" s="27" t="s">
        <v>504</v>
      </c>
      <c r="D56" s="10" t="s">
        <v>507</v>
      </c>
      <c r="E56" s="5" t="s">
        <v>142</v>
      </c>
      <c r="F56" s="5" t="s">
        <v>99</v>
      </c>
      <c r="G56" s="3"/>
      <c r="H56" s="3"/>
      <c r="I56" s="3"/>
      <c r="J56" s="3"/>
      <c r="K56" s="3"/>
      <c r="L56" s="3"/>
      <c r="M56" s="3"/>
      <c r="N56" s="3"/>
      <c r="O56" s="3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3"/>
      <c r="AD56" s="5"/>
      <c r="AE56" s="3"/>
      <c r="AF56" s="3"/>
      <c r="AG56" s="3"/>
      <c r="AH56" s="3"/>
      <c r="AI56" s="3"/>
      <c r="AJ56" s="3"/>
      <c r="AK56" s="3"/>
      <c r="AL56" s="5"/>
      <c r="AM56" s="3"/>
      <c r="AN56" s="3"/>
      <c r="AO56" s="3"/>
      <c r="AP56" s="5"/>
      <c r="AQ56" s="5"/>
      <c r="AR56" s="5"/>
      <c r="AS56" s="5"/>
      <c r="AT56" s="5"/>
      <c r="AU56" s="3"/>
      <c r="AV56" s="3"/>
      <c r="AW56" s="5"/>
      <c r="AX56" s="5"/>
      <c r="AY56" s="3"/>
      <c r="AZ56" s="3" t="s">
        <v>222</v>
      </c>
      <c r="BA56" s="5" t="s">
        <v>222</v>
      </c>
      <c r="BB56" s="3" t="s">
        <v>209</v>
      </c>
      <c r="BC56" s="3" t="s">
        <v>232</v>
      </c>
      <c r="BD56" s="5" t="s">
        <v>232</v>
      </c>
      <c r="BE56" s="3" t="s">
        <v>192</v>
      </c>
      <c r="BF56" s="3" t="s">
        <v>192</v>
      </c>
      <c r="BG56" s="3" t="s">
        <v>192</v>
      </c>
      <c r="BH56" s="3" t="s">
        <v>209</v>
      </c>
      <c r="BI56" s="3" t="s">
        <v>209</v>
      </c>
      <c r="BJ56" s="3" t="s">
        <v>558</v>
      </c>
      <c r="BK56" s="3" t="s">
        <v>595</v>
      </c>
      <c r="BL56" s="5" t="s">
        <v>85</v>
      </c>
      <c r="BM56" s="3" t="s">
        <v>595</v>
      </c>
      <c r="BN56" s="3" t="s">
        <v>614</v>
      </c>
      <c r="BO56" s="27" t="s">
        <v>595</v>
      </c>
      <c r="BP56" s="3"/>
      <c r="BQ56" s="3"/>
      <c r="BR56" s="3"/>
      <c r="BS56" s="3"/>
      <c r="BT56" s="3"/>
      <c r="BU56" s="3"/>
      <c r="BV56" s="3"/>
      <c r="BW56" s="3"/>
      <c r="BX56" s="3"/>
      <c r="BY56" s="3"/>
    </row>
    <row r="57" spans="1:77" s="6" customFormat="1">
      <c r="A57" s="10" t="s">
        <v>8</v>
      </c>
      <c r="B57" s="37" t="s">
        <v>8</v>
      </c>
      <c r="C57" s="27" t="s">
        <v>505</v>
      </c>
      <c r="D57" s="10" t="s">
        <v>508</v>
      </c>
      <c r="E57" s="8" t="s">
        <v>4</v>
      </c>
      <c r="F57" s="5" t="s">
        <v>99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5"/>
      <c r="AB57" s="5"/>
      <c r="AC57" s="3"/>
      <c r="AD57" s="5"/>
      <c r="AE57" s="3"/>
      <c r="AF57" s="3"/>
      <c r="AG57" s="5"/>
      <c r="AH57" s="5"/>
      <c r="AI57" s="5"/>
      <c r="AJ57" s="5"/>
      <c r="AK57" s="5"/>
      <c r="AL57" s="5"/>
      <c r="AM57" s="5"/>
      <c r="AN57" s="5"/>
      <c r="AO57" s="3"/>
      <c r="AP57" s="5"/>
      <c r="AQ57" s="5"/>
      <c r="AR57" s="5"/>
      <c r="AS57" s="5"/>
      <c r="AT57" s="5"/>
      <c r="AU57" s="3"/>
      <c r="AV57" s="5"/>
      <c r="AW57" s="5"/>
      <c r="AX57" s="3"/>
      <c r="AY57" s="5"/>
      <c r="AZ57" s="5"/>
      <c r="BA57" s="3" t="s">
        <v>459</v>
      </c>
      <c r="BB57" s="3" t="s">
        <v>287</v>
      </c>
      <c r="BC57" s="3" t="s">
        <v>452</v>
      </c>
      <c r="BD57" s="5" t="s">
        <v>459</v>
      </c>
      <c r="BE57" s="3" t="s">
        <v>422</v>
      </c>
      <c r="BF57" s="5" t="s">
        <v>546</v>
      </c>
      <c r="BG57" s="27" t="s">
        <v>344</v>
      </c>
      <c r="BH57" s="5" t="s">
        <v>287</v>
      </c>
      <c r="BI57" s="3" t="s">
        <v>452</v>
      </c>
      <c r="BJ57" s="5" t="s">
        <v>587</v>
      </c>
      <c r="BK57" s="3" t="s">
        <v>467</v>
      </c>
      <c r="BL57" s="5" t="s">
        <v>444</v>
      </c>
      <c r="BM57" s="3" t="s">
        <v>287</v>
      </c>
      <c r="BN57" s="3" t="s">
        <v>357</v>
      </c>
      <c r="BO57" s="27" t="s">
        <v>616</v>
      </c>
      <c r="BP57" s="3"/>
      <c r="BQ57" s="3"/>
      <c r="BR57" s="3"/>
      <c r="BS57" s="3"/>
      <c r="BT57" s="3"/>
      <c r="BU57" s="3"/>
      <c r="BV57" s="3"/>
      <c r="BW57" s="3"/>
      <c r="BX57" s="3"/>
      <c r="BY57" s="3"/>
    </row>
    <row r="58" spans="1:77" s="6" customFormat="1" ht="15">
      <c r="A58" s="10" t="s">
        <v>8</v>
      </c>
      <c r="B58" s="37" t="s">
        <v>8</v>
      </c>
      <c r="C58" s="27" t="s">
        <v>516</v>
      </c>
      <c r="D58" s="10" t="s">
        <v>515</v>
      </c>
      <c r="E58" s="8" t="s">
        <v>4</v>
      </c>
      <c r="F58" s="5" t="s">
        <v>99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5"/>
      <c r="AA58" s="3"/>
      <c r="AB58" s="3"/>
      <c r="AC58" s="5"/>
      <c r="AD58" s="5"/>
      <c r="AE58" s="3"/>
      <c r="AF58" s="3"/>
      <c r="AG58" s="3"/>
      <c r="AH58" s="5"/>
      <c r="AI58" s="3"/>
      <c r="AJ58" s="3"/>
      <c r="AK58" s="3"/>
      <c r="AL58" s="3"/>
      <c r="AM58" s="3"/>
      <c r="AN58" s="3"/>
      <c r="AO58" s="3"/>
      <c r="AP58" s="3"/>
      <c r="AQ58" s="3"/>
      <c r="AR58" s="5"/>
      <c r="AS58" s="3"/>
      <c r="AT58" s="3"/>
      <c r="AU58" s="3"/>
      <c r="AV58" s="3"/>
      <c r="AW58" s="26"/>
      <c r="AX58" s="3"/>
      <c r="AY58" s="3"/>
      <c r="AZ58" s="3"/>
      <c r="BA58" s="3"/>
      <c r="BB58" s="3" t="s">
        <v>11</v>
      </c>
      <c r="BC58" s="3" t="s">
        <v>196</v>
      </c>
      <c r="BD58" s="3" t="s">
        <v>170</v>
      </c>
      <c r="BE58" s="3" t="s">
        <v>196</v>
      </c>
      <c r="BF58" s="3" t="s">
        <v>170</v>
      </c>
      <c r="BG58" s="3" t="s">
        <v>85</v>
      </c>
      <c r="BH58" s="3" t="s">
        <v>85</v>
      </c>
      <c r="BI58" s="3" t="s">
        <v>85</v>
      </c>
      <c r="BJ58" s="3" t="s">
        <v>85</v>
      </c>
      <c r="BK58" s="3"/>
      <c r="BL58" s="5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</row>
    <row r="59" spans="1:77" s="6" customFormat="1">
      <c r="A59" s="10" t="s">
        <v>8</v>
      </c>
      <c r="B59" s="37" t="s">
        <v>8</v>
      </c>
      <c r="C59" s="27" t="s">
        <v>517</v>
      </c>
      <c r="D59" s="10" t="s">
        <v>518</v>
      </c>
      <c r="E59" s="8" t="s">
        <v>4</v>
      </c>
      <c r="F59" s="5" t="s">
        <v>99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5"/>
      <c r="AH59" s="3"/>
      <c r="AI59" s="5"/>
      <c r="AJ59" s="5"/>
      <c r="AK59" s="3"/>
      <c r="AL59" s="5"/>
      <c r="AM59" s="5"/>
      <c r="AN59" s="5"/>
      <c r="AO59" s="3"/>
      <c r="AP59" s="5"/>
      <c r="AQ59" s="3"/>
      <c r="AR59" s="5"/>
      <c r="AS59" s="3"/>
      <c r="AT59" s="3"/>
      <c r="AU59" s="3"/>
      <c r="AV59" s="3"/>
      <c r="AW59" s="3"/>
      <c r="AX59" s="3"/>
      <c r="AY59" s="3"/>
      <c r="AZ59" s="3"/>
      <c r="BA59" s="3"/>
      <c r="BB59" s="3" t="s">
        <v>85</v>
      </c>
      <c r="BC59" s="3" t="s">
        <v>523</v>
      </c>
      <c r="BD59" s="5" t="s">
        <v>145</v>
      </c>
      <c r="BE59" s="3" t="s">
        <v>199</v>
      </c>
      <c r="BF59" s="5" t="s">
        <v>523</v>
      </c>
      <c r="BG59" s="3" t="s">
        <v>550</v>
      </c>
      <c r="BH59" s="3" t="s">
        <v>558</v>
      </c>
      <c r="BI59" s="3" t="s">
        <v>523</v>
      </c>
      <c r="BJ59" s="3"/>
      <c r="BK59" s="3"/>
      <c r="BL59" s="5"/>
      <c r="BM59" s="3"/>
      <c r="BN59" s="3"/>
      <c r="BO59" s="5"/>
      <c r="BP59" s="3"/>
      <c r="BQ59" s="3"/>
      <c r="BR59" s="3"/>
      <c r="BS59" s="3"/>
      <c r="BT59" s="3"/>
      <c r="BU59" s="3"/>
      <c r="BV59" s="3"/>
      <c r="BW59" s="3"/>
      <c r="BX59" s="3"/>
      <c r="BY59" s="3"/>
    </row>
    <row r="60" spans="1:77" s="6" customFormat="1">
      <c r="A60" s="10" t="s">
        <v>8</v>
      </c>
      <c r="B60" s="37" t="s">
        <v>8</v>
      </c>
      <c r="C60" s="3" t="s">
        <v>532</v>
      </c>
      <c r="D60" s="10" t="s">
        <v>529</v>
      </c>
      <c r="E60" s="8" t="s">
        <v>4</v>
      </c>
      <c r="F60" s="5" t="s">
        <v>99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5"/>
      <c r="AM60" s="3"/>
      <c r="AN60" s="3"/>
      <c r="AO60" s="3"/>
      <c r="AP60" s="3"/>
      <c r="AQ60" s="3"/>
      <c r="AR60" s="5"/>
      <c r="AS60" s="3"/>
      <c r="AT60" s="5"/>
      <c r="AU60" s="3"/>
      <c r="AV60" s="3"/>
      <c r="AW60" s="5"/>
      <c r="AX60" s="3"/>
      <c r="AY60" s="3"/>
      <c r="AZ60" s="3"/>
      <c r="BA60" s="3"/>
      <c r="BB60" s="3"/>
      <c r="BC60" s="5" t="s">
        <v>363</v>
      </c>
      <c r="BD60" s="3" t="s">
        <v>107</v>
      </c>
      <c r="BE60" s="3" t="s">
        <v>101</v>
      </c>
      <c r="BF60" s="3" t="s">
        <v>114</v>
      </c>
      <c r="BG60" s="3" t="s">
        <v>490</v>
      </c>
      <c r="BH60" s="3" t="s">
        <v>564</v>
      </c>
      <c r="BI60" s="3" t="s">
        <v>490</v>
      </c>
      <c r="BJ60" s="3" t="s">
        <v>114</v>
      </c>
      <c r="BK60" s="3" t="s">
        <v>599</v>
      </c>
      <c r="BL60" s="3" t="s">
        <v>602</v>
      </c>
      <c r="BM60" s="3" t="s">
        <v>609</v>
      </c>
      <c r="BN60" s="3" t="s">
        <v>147</v>
      </c>
      <c r="BO60" s="3" t="s">
        <v>617</v>
      </c>
      <c r="BP60" s="3"/>
      <c r="BQ60" s="3"/>
      <c r="BR60" s="3"/>
      <c r="BS60" s="3"/>
      <c r="BT60" s="3"/>
      <c r="BU60" s="3"/>
      <c r="BV60" s="3"/>
      <c r="BW60" s="3"/>
      <c r="BX60" s="3"/>
      <c r="BY60" s="3"/>
    </row>
    <row r="61" spans="1:77" s="6" customFormat="1">
      <c r="A61" s="10" t="s">
        <v>8</v>
      </c>
      <c r="B61" s="35" t="s">
        <v>8</v>
      </c>
      <c r="C61" s="3" t="s">
        <v>533</v>
      </c>
      <c r="D61" s="6" t="s">
        <v>536</v>
      </c>
      <c r="E61" s="8" t="s">
        <v>4</v>
      </c>
      <c r="F61" s="5" t="s">
        <v>99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5"/>
      <c r="V61" s="5"/>
      <c r="W61" s="5"/>
      <c r="X61" s="5"/>
      <c r="Y61" s="3"/>
      <c r="Z61" s="5"/>
      <c r="AA61" s="5"/>
      <c r="AB61" s="3"/>
      <c r="AC61" s="3"/>
      <c r="AD61" s="3"/>
      <c r="AE61" s="5"/>
      <c r="AF61" s="3"/>
      <c r="AG61" s="3"/>
      <c r="AH61" s="5"/>
      <c r="AI61" s="5"/>
      <c r="AJ61" s="5"/>
      <c r="AK61" s="5"/>
      <c r="AL61" s="5"/>
      <c r="AM61" s="3"/>
      <c r="AN61" s="3"/>
      <c r="AO61" s="5"/>
      <c r="AP61" s="5"/>
      <c r="AQ61" s="5"/>
      <c r="AR61" s="5"/>
      <c r="AS61" s="5"/>
      <c r="AT61" s="5"/>
      <c r="AU61" s="3"/>
      <c r="AV61" s="5"/>
      <c r="AW61" s="5"/>
      <c r="AX61" s="3"/>
      <c r="AY61" s="3"/>
      <c r="AZ61" s="3"/>
      <c r="BA61" s="5"/>
      <c r="BB61" s="3"/>
      <c r="BC61" s="5" t="s">
        <v>530</v>
      </c>
      <c r="BD61" s="3" t="s">
        <v>530</v>
      </c>
      <c r="BE61" s="5" t="s">
        <v>544</v>
      </c>
      <c r="BF61" s="3" t="s">
        <v>214</v>
      </c>
      <c r="BG61" s="3" t="s">
        <v>350</v>
      </c>
      <c r="BH61" s="3" t="s">
        <v>403</v>
      </c>
      <c r="BI61" s="3" t="s">
        <v>350</v>
      </c>
      <c r="BJ61" s="3" t="s">
        <v>593</v>
      </c>
      <c r="BK61" s="3" t="s">
        <v>598</v>
      </c>
      <c r="BL61" s="5" t="s">
        <v>204</v>
      </c>
      <c r="BM61" s="3" t="s">
        <v>417</v>
      </c>
      <c r="BN61" s="3" t="s">
        <v>403</v>
      </c>
      <c r="BO61" s="3" t="s">
        <v>456</v>
      </c>
      <c r="BP61" s="3"/>
      <c r="BQ61" s="3"/>
      <c r="BR61" s="3"/>
      <c r="BS61" s="3"/>
      <c r="BT61" s="3"/>
      <c r="BU61" s="3"/>
      <c r="BV61" s="3"/>
      <c r="BW61" s="3"/>
      <c r="BX61" s="3"/>
      <c r="BY61" s="3"/>
    </row>
    <row r="62" spans="1:77" s="6" customFormat="1">
      <c r="A62" s="10" t="s">
        <v>8</v>
      </c>
      <c r="B62" s="35" t="s">
        <v>535</v>
      </c>
      <c r="C62" s="3" t="s">
        <v>534</v>
      </c>
      <c r="D62" s="10" t="s">
        <v>537</v>
      </c>
      <c r="E62" s="5" t="s">
        <v>143</v>
      </c>
      <c r="F62" s="5" t="s">
        <v>99</v>
      </c>
      <c r="G62" s="3"/>
      <c r="H62" s="5"/>
      <c r="I62" s="5"/>
      <c r="J62" s="5"/>
      <c r="K62" s="3"/>
      <c r="L62" s="3"/>
      <c r="M62" s="5"/>
      <c r="N62" s="3"/>
      <c r="O62" s="3"/>
      <c r="P62" s="3"/>
      <c r="Q62" s="3"/>
      <c r="R62" s="5"/>
      <c r="S62" s="5"/>
      <c r="T62" s="5"/>
      <c r="U62" s="5"/>
      <c r="V62" s="3"/>
      <c r="W62" s="5"/>
      <c r="X62" s="3"/>
      <c r="Y62" s="3"/>
      <c r="Z62" s="5"/>
      <c r="AA62" s="5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5"/>
      <c r="AM62" s="3"/>
      <c r="AN62" s="3"/>
      <c r="AO62" s="5"/>
      <c r="AP62" s="5"/>
      <c r="AQ62" s="3"/>
      <c r="AR62" s="5"/>
      <c r="AS62" s="5"/>
      <c r="AT62" s="3"/>
      <c r="AU62" s="3"/>
      <c r="AV62" s="3"/>
      <c r="AW62" s="5"/>
      <c r="AX62" s="3"/>
      <c r="AY62" s="3"/>
      <c r="AZ62" s="3"/>
      <c r="BA62" s="3"/>
      <c r="BB62" s="3"/>
      <c r="BC62" s="5"/>
      <c r="BD62" s="3" t="s">
        <v>540</v>
      </c>
      <c r="BE62" s="5"/>
      <c r="BF62" s="3"/>
      <c r="BG62" s="3"/>
      <c r="BH62" s="3"/>
      <c r="BI62" s="3"/>
      <c r="BJ62" s="3"/>
      <c r="BK62" s="3"/>
      <c r="BL62" s="5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</row>
    <row r="63" spans="1:77" s="6" customFormat="1">
      <c r="A63" s="10" t="s">
        <v>8</v>
      </c>
      <c r="B63" s="37" t="s">
        <v>8</v>
      </c>
      <c r="C63" s="27" t="s">
        <v>553</v>
      </c>
      <c r="D63" s="10" t="s">
        <v>555</v>
      </c>
      <c r="E63" s="27" t="s">
        <v>4</v>
      </c>
      <c r="F63" s="27" t="s">
        <v>99</v>
      </c>
      <c r="G63" s="3"/>
      <c r="H63" s="3"/>
      <c r="I63" s="3"/>
      <c r="J63" s="5"/>
      <c r="K63" s="3"/>
      <c r="L63" s="3"/>
      <c r="M63" s="3"/>
      <c r="N63" s="5"/>
      <c r="O63" s="3"/>
      <c r="P63" s="5"/>
      <c r="Q63" s="5"/>
      <c r="R63" s="5"/>
      <c r="S63" s="5"/>
      <c r="T63" s="5"/>
      <c r="U63" s="5"/>
      <c r="V63" s="5"/>
      <c r="W63" s="3"/>
      <c r="X63" s="5"/>
      <c r="Y63" s="3"/>
      <c r="Z63" s="5"/>
      <c r="AA63" s="5"/>
      <c r="AB63" s="5"/>
      <c r="AC63" s="3"/>
      <c r="AD63" s="5"/>
      <c r="AE63" s="5"/>
      <c r="AF63" s="3"/>
      <c r="AG63" s="3"/>
      <c r="AH63" s="5"/>
      <c r="AI63" s="5"/>
      <c r="AJ63" s="3"/>
      <c r="AK63" s="3"/>
      <c r="AL63" s="5"/>
      <c r="AM63" s="3"/>
      <c r="AN63" s="5"/>
      <c r="AO63" s="5"/>
      <c r="AP63" s="5"/>
      <c r="AQ63" s="5"/>
      <c r="AR63" s="5"/>
      <c r="AS63" s="5"/>
      <c r="AT63" s="5"/>
      <c r="AU63" s="3"/>
      <c r="AV63" s="5"/>
      <c r="AW63" s="5"/>
      <c r="AX63" s="5"/>
      <c r="AY63" s="5"/>
      <c r="AZ63" s="5"/>
      <c r="BA63" s="5"/>
      <c r="BB63" s="3"/>
      <c r="BC63" s="3"/>
      <c r="BD63" s="5"/>
      <c r="BE63" s="3"/>
      <c r="BF63" s="5"/>
      <c r="BG63" s="3" t="s">
        <v>401</v>
      </c>
      <c r="BH63" s="3" t="s">
        <v>560</v>
      </c>
      <c r="BI63" s="3" t="s">
        <v>149</v>
      </c>
      <c r="BJ63" s="5" t="s">
        <v>560</v>
      </c>
      <c r="BK63" s="3" t="s">
        <v>126</v>
      </c>
      <c r="BL63" s="5" t="s">
        <v>103</v>
      </c>
      <c r="BM63" s="3" t="s">
        <v>608</v>
      </c>
      <c r="BN63" s="3" t="s">
        <v>245</v>
      </c>
      <c r="BO63" s="27" t="s">
        <v>457</v>
      </c>
      <c r="BP63" s="3"/>
      <c r="BQ63" s="3"/>
      <c r="BR63" s="3"/>
      <c r="BS63" s="3"/>
      <c r="BT63" s="3"/>
      <c r="BU63" s="3"/>
      <c r="BV63" s="3"/>
      <c r="BW63" s="3"/>
      <c r="BX63" s="3"/>
      <c r="BY63" s="3"/>
    </row>
    <row r="64" spans="1:77" s="6" customFormat="1">
      <c r="A64" s="10" t="s">
        <v>8</v>
      </c>
      <c r="B64" s="37" t="s">
        <v>8</v>
      </c>
      <c r="C64" s="27" t="s">
        <v>554</v>
      </c>
      <c r="D64" s="10" t="s">
        <v>556</v>
      </c>
      <c r="E64" s="27" t="s">
        <v>4</v>
      </c>
      <c r="F64" s="27" t="s">
        <v>99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5"/>
      <c r="AQ64" s="3"/>
      <c r="AR64" s="3"/>
      <c r="AS64" s="5"/>
      <c r="AT64" s="3"/>
      <c r="AU64" s="3"/>
      <c r="AV64" s="3"/>
      <c r="AW64" s="3"/>
      <c r="AX64" s="5"/>
      <c r="AY64" s="3"/>
      <c r="AZ64" s="3"/>
      <c r="BA64" s="3"/>
      <c r="BB64" s="3"/>
      <c r="BC64" s="5"/>
      <c r="BD64" s="3"/>
      <c r="BE64" s="3"/>
      <c r="BF64" s="3"/>
      <c r="BG64" s="3" t="s">
        <v>379</v>
      </c>
      <c r="BH64" s="3" t="s">
        <v>559</v>
      </c>
      <c r="BI64" s="3" t="s">
        <v>559</v>
      </c>
      <c r="BJ64" s="3" t="s">
        <v>379</v>
      </c>
      <c r="BK64" s="3" t="s">
        <v>594</v>
      </c>
      <c r="BL64" s="3" t="s">
        <v>594</v>
      </c>
      <c r="BM64" s="3" t="s">
        <v>191</v>
      </c>
      <c r="BN64" s="3" t="s">
        <v>613</v>
      </c>
      <c r="BO64" s="27" t="s">
        <v>433</v>
      </c>
      <c r="BP64" s="3"/>
      <c r="BQ64" s="3"/>
      <c r="BR64" s="3"/>
      <c r="BS64" s="3"/>
      <c r="BT64" s="3"/>
      <c r="BU64" s="3"/>
      <c r="BV64" s="3"/>
      <c r="BW64" s="3"/>
      <c r="BX64" s="3"/>
      <c r="BY64" s="3"/>
    </row>
    <row r="65" spans="1:77" s="6" customFormat="1">
      <c r="A65" s="10" t="s">
        <v>8</v>
      </c>
      <c r="B65" s="37" t="s">
        <v>8</v>
      </c>
      <c r="C65" s="27" t="s">
        <v>565</v>
      </c>
      <c r="D65" s="10" t="s">
        <v>569</v>
      </c>
      <c r="E65" s="5" t="s">
        <v>4</v>
      </c>
      <c r="F65" s="5" t="s">
        <v>99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M65" s="5"/>
      <c r="AN65" s="5"/>
      <c r="AO65" s="3"/>
      <c r="AP65" s="5"/>
      <c r="AQ65" s="3"/>
      <c r="AR65" s="5"/>
      <c r="AS65" s="5"/>
      <c r="AT65" s="3"/>
      <c r="AU65" s="3"/>
      <c r="AV65" s="3"/>
      <c r="AW65" s="3"/>
      <c r="AX65" s="5"/>
      <c r="AY65" s="3"/>
      <c r="AZ65" s="3"/>
      <c r="BA65" s="5"/>
      <c r="BB65" s="5"/>
      <c r="BC65" s="5"/>
      <c r="BD65" s="5"/>
      <c r="BE65" s="3"/>
      <c r="BF65" s="5"/>
      <c r="BG65" s="5"/>
      <c r="BH65" s="3" t="s">
        <v>242</v>
      </c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</row>
    <row r="66" spans="1:77" s="6" customFormat="1">
      <c r="A66" s="10" t="s">
        <v>8</v>
      </c>
      <c r="B66" s="37" t="s">
        <v>8</v>
      </c>
      <c r="C66" s="27" t="s">
        <v>566</v>
      </c>
      <c r="D66" s="10" t="s">
        <v>570</v>
      </c>
      <c r="E66" s="5" t="s">
        <v>4</v>
      </c>
      <c r="F66" s="5" t="s">
        <v>99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5"/>
      <c r="X66" s="3"/>
      <c r="Y66" s="3"/>
      <c r="Z66" s="5"/>
      <c r="AA66" s="5"/>
      <c r="AB66" s="5"/>
      <c r="AC66" s="3"/>
      <c r="AD66" s="5"/>
      <c r="AE66" s="3"/>
      <c r="AF66" s="3"/>
      <c r="AG66" s="5"/>
      <c r="AH66" s="3"/>
      <c r="AI66" s="3"/>
      <c r="AJ66" s="3"/>
      <c r="AK66" s="5"/>
      <c r="AL66" s="5"/>
      <c r="AM66" s="3"/>
      <c r="AN66" s="5"/>
      <c r="AO66" s="3"/>
      <c r="AP66" s="23"/>
      <c r="AQ66" s="5"/>
      <c r="AR66" s="5"/>
      <c r="AS66" s="5"/>
      <c r="AT66" s="5"/>
      <c r="AU66" s="3"/>
      <c r="AV66" s="3"/>
      <c r="AW66" s="5"/>
      <c r="AX66" s="3"/>
      <c r="AY66" s="3"/>
      <c r="AZ66" s="3"/>
      <c r="BA66" s="5"/>
      <c r="BB66" s="3"/>
      <c r="BC66" s="3"/>
      <c r="BD66" s="3"/>
      <c r="BE66" s="3"/>
      <c r="BF66" s="5"/>
      <c r="BG66" s="3"/>
      <c r="BH66" s="3" t="s">
        <v>567</v>
      </c>
      <c r="BI66" s="3" t="s">
        <v>302</v>
      </c>
      <c r="BJ66" s="3" t="s">
        <v>14</v>
      </c>
      <c r="BK66" s="3" t="s">
        <v>468</v>
      </c>
      <c r="BL66" s="3" t="s">
        <v>319</v>
      </c>
      <c r="BM66" s="3" t="s">
        <v>412</v>
      </c>
      <c r="BN66" s="3" t="s">
        <v>319</v>
      </c>
      <c r="BO66" s="3" t="s">
        <v>250</v>
      </c>
      <c r="BP66" s="3"/>
      <c r="BQ66" s="3"/>
      <c r="BR66" s="3"/>
      <c r="BS66" s="3"/>
      <c r="BT66" s="3"/>
      <c r="BU66" s="3"/>
      <c r="BV66" s="3"/>
      <c r="BW66" s="3"/>
      <c r="BX66" s="3"/>
      <c r="BY66" s="3"/>
    </row>
    <row r="67" spans="1:77" s="6" customFormat="1">
      <c r="A67" s="10" t="s">
        <v>8</v>
      </c>
      <c r="B67" s="36" t="s">
        <v>475</v>
      </c>
      <c r="C67" s="27" t="s">
        <v>8</v>
      </c>
      <c r="D67" s="10" t="s">
        <v>571</v>
      </c>
      <c r="E67" s="5" t="s">
        <v>143</v>
      </c>
      <c r="F67" s="5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3"/>
      <c r="AV67" s="5"/>
      <c r="AW67" s="5"/>
      <c r="AX67" s="5"/>
      <c r="AY67" s="3"/>
      <c r="AZ67" s="3"/>
      <c r="BA67" s="5"/>
      <c r="BB67" s="3"/>
      <c r="BC67" s="5"/>
      <c r="BD67" s="3"/>
      <c r="BE67" s="5"/>
      <c r="BF67" s="5"/>
      <c r="BG67" s="5"/>
      <c r="BH67" s="3" t="s">
        <v>568</v>
      </c>
      <c r="BI67" s="3" t="s">
        <v>426</v>
      </c>
      <c r="BJ67" s="3" t="s">
        <v>310</v>
      </c>
      <c r="BK67" s="3"/>
      <c r="BL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</row>
    <row r="68" spans="1:77" s="6" customFormat="1">
      <c r="A68" s="10" t="s">
        <v>8</v>
      </c>
      <c r="B68" s="41" t="s">
        <v>576</v>
      </c>
      <c r="C68" s="27" t="s">
        <v>8</v>
      </c>
      <c r="D68" s="10" t="s">
        <v>583</v>
      </c>
      <c r="E68" s="5" t="s">
        <v>578</v>
      </c>
      <c r="F68" s="5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5"/>
      <c r="V68" s="3"/>
      <c r="W68" s="3"/>
      <c r="X68" s="3"/>
      <c r="Y68" s="3"/>
      <c r="Z68" s="3"/>
      <c r="AA68" s="3"/>
      <c r="AB68" s="3"/>
      <c r="AC68" s="3"/>
      <c r="AD68" s="3"/>
      <c r="AE68" s="5"/>
      <c r="AF68" s="3"/>
      <c r="AG68" s="3"/>
      <c r="AH68" s="5"/>
      <c r="AI68" s="3"/>
      <c r="AJ68" s="3"/>
      <c r="AK68" s="3"/>
      <c r="AL68" s="3"/>
      <c r="AM68" s="3"/>
      <c r="AN68" s="3"/>
      <c r="AO68" s="3"/>
      <c r="AP68" s="3"/>
      <c r="AQ68" s="3"/>
      <c r="AR68" s="5"/>
      <c r="AS68" s="3"/>
      <c r="AT68" s="5"/>
      <c r="AU68" s="3"/>
      <c r="AV68" s="5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 t="s">
        <v>582</v>
      </c>
      <c r="BI68" s="3" t="s">
        <v>581</v>
      </c>
      <c r="BJ68" s="3" t="s">
        <v>302</v>
      </c>
      <c r="BK68" s="3" t="s">
        <v>582</v>
      </c>
      <c r="BL68" s="3" t="s">
        <v>601</v>
      </c>
      <c r="BM68" s="3" t="s">
        <v>605</v>
      </c>
      <c r="BN68" s="3" t="s">
        <v>218</v>
      </c>
      <c r="BO68" s="3" t="s">
        <v>242</v>
      </c>
      <c r="BP68" s="3"/>
      <c r="BQ68" s="3"/>
      <c r="BR68" s="3"/>
      <c r="BS68" s="3"/>
      <c r="BT68" s="3"/>
      <c r="BU68" s="3"/>
      <c r="BV68" s="3"/>
      <c r="BW68" s="3"/>
      <c r="BX68" s="3"/>
      <c r="BY68" s="3"/>
    </row>
    <row r="69" spans="1:77" s="6" customFormat="1">
      <c r="A69" s="10" t="s">
        <v>8</v>
      </c>
      <c r="B69" s="34" t="s">
        <v>577</v>
      </c>
      <c r="C69" s="27" t="s">
        <v>8</v>
      </c>
      <c r="D69" s="6" t="s">
        <v>589</v>
      </c>
      <c r="E69" s="5" t="s">
        <v>579</v>
      </c>
      <c r="F69" s="5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5"/>
      <c r="AP69" s="3"/>
      <c r="AQ69" s="3"/>
      <c r="AR69" s="3"/>
      <c r="AS69" s="3"/>
      <c r="AT69" s="5"/>
      <c r="AU69" s="3"/>
      <c r="AV69" s="5"/>
      <c r="AW69" s="5"/>
      <c r="AX69" s="5"/>
      <c r="AY69" s="3"/>
      <c r="AZ69" s="3"/>
      <c r="BA69" s="3"/>
      <c r="BB69" s="3"/>
      <c r="BC69" s="3"/>
      <c r="BD69" s="5"/>
      <c r="BE69" s="3"/>
      <c r="BF69" s="5"/>
      <c r="BG69" s="5"/>
      <c r="BH69" s="5"/>
      <c r="BI69" s="3" t="s">
        <v>580</v>
      </c>
      <c r="BJ69" s="5" t="s">
        <v>588</v>
      </c>
      <c r="BK69" s="3" t="s">
        <v>596</v>
      </c>
      <c r="BL69" s="3" t="s">
        <v>588</v>
      </c>
      <c r="BM69" s="3" t="s">
        <v>454</v>
      </c>
      <c r="BN69" s="3" t="s">
        <v>454</v>
      </c>
      <c r="BO69" s="3" t="s">
        <v>236</v>
      </c>
      <c r="BP69" s="3"/>
      <c r="BQ69" s="3"/>
      <c r="BR69" s="3"/>
      <c r="BS69" s="3"/>
      <c r="BT69" s="3"/>
      <c r="BU69" s="3"/>
      <c r="BV69" s="3"/>
      <c r="BW69" s="3"/>
      <c r="BX69" s="3"/>
      <c r="BY69" s="3"/>
    </row>
    <row r="70" spans="1:77" s="6" customFormat="1">
      <c r="A70" s="10" t="s">
        <v>8</v>
      </c>
      <c r="B70" s="37" t="s">
        <v>8</v>
      </c>
      <c r="C70" s="3" t="s">
        <v>585</v>
      </c>
      <c r="D70" s="6" t="s">
        <v>586</v>
      </c>
      <c r="E70" s="5" t="s">
        <v>4</v>
      </c>
      <c r="F70" s="5" t="s">
        <v>99</v>
      </c>
      <c r="G70" s="3"/>
      <c r="H70" s="3"/>
      <c r="I70" s="3"/>
      <c r="J70" s="3"/>
      <c r="K70" s="3"/>
      <c r="L70" s="3"/>
      <c r="M70" s="3"/>
      <c r="N70" s="5"/>
      <c r="O70" s="3"/>
      <c r="P70" s="5"/>
      <c r="Q70" s="5"/>
      <c r="R70" s="5"/>
      <c r="S70" s="5"/>
      <c r="T70" s="5"/>
      <c r="U70" s="5"/>
      <c r="V70" s="5"/>
      <c r="W70" s="5"/>
      <c r="X70" s="5"/>
      <c r="Y70" s="3"/>
      <c r="Z70" s="5"/>
      <c r="AA70" s="5"/>
      <c r="AB70" s="5"/>
      <c r="AC70" s="3"/>
      <c r="AD70" s="5"/>
      <c r="AE70" s="3"/>
      <c r="AF70" s="3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3"/>
      <c r="AV70" s="5"/>
      <c r="AW70" s="5"/>
      <c r="AX70" s="5"/>
      <c r="AY70" s="3"/>
      <c r="AZ70" s="5"/>
      <c r="BA70" s="5"/>
      <c r="BB70" s="3"/>
      <c r="BC70" s="3"/>
      <c r="BD70" s="5"/>
      <c r="BE70" s="3"/>
      <c r="BF70" s="3"/>
      <c r="BG70" s="3"/>
      <c r="BH70" s="3"/>
      <c r="BI70" s="3" t="s">
        <v>293</v>
      </c>
      <c r="BJ70" s="3" t="s">
        <v>543</v>
      </c>
      <c r="BK70" s="3" t="s">
        <v>543</v>
      </c>
      <c r="BL70" s="3" t="s">
        <v>603</v>
      </c>
      <c r="BM70" s="3" t="s">
        <v>543</v>
      </c>
      <c r="BN70" s="3" t="s">
        <v>543</v>
      </c>
      <c r="BO70" s="3" t="s">
        <v>543</v>
      </c>
      <c r="BP70" s="3"/>
      <c r="BQ70" s="3"/>
      <c r="BR70" s="3"/>
      <c r="BS70" s="3"/>
      <c r="BT70" s="3"/>
      <c r="BU70" s="3"/>
      <c r="BV70" s="3"/>
      <c r="BW70" s="3"/>
      <c r="BX70" s="3"/>
      <c r="BY70" s="3"/>
    </row>
    <row r="71" spans="1:77" s="6" customFormat="1">
      <c r="A71" s="10" t="s">
        <v>8</v>
      </c>
      <c r="B71" s="37" t="s">
        <v>8</v>
      </c>
      <c r="C71" s="27" t="s">
        <v>8</v>
      </c>
      <c r="D71" s="44" t="s">
        <v>86</v>
      </c>
      <c r="E71" s="5" t="s">
        <v>143</v>
      </c>
      <c r="F71" s="5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5"/>
      <c r="AA71" s="5"/>
      <c r="AB71" s="5"/>
      <c r="AC71" s="5"/>
      <c r="AD71" s="5"/>
      <c r="AE71" s="3"/>
      <c r="AF71" s="3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3"/>
      <c r="AV71" s="5"/>
      <c r="AW71" s="5"/>
      <c r="AX71" s="5"/>
      <c r="AY71" s="3"/>
      <c r="AZ71" s="5"/>
      <c r="BA71" s="5"/>
      <c r="BB71" s="3"/>
      <c r="BC71" s="5"/>
      <c r="BD71" s="5"/>
      <c r="BE71" s="5"/>
      <c r="BF71" s="5"/>
      <c r="BG71" s="5"/>
      <c r="BH71" s="5"/>
      <c r="BI71" s="3" t="s">
        <v>584</v>
      </c>
      <c r="BJ71" s="5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</row>
    <row r="72" spans="1:77" s="6" customFormat="1" ht="13.5" customHeight="1">
      <c r="A72" s="10" t="s">
        <v>8</v>
      </c>
      <c r="B72" s="37" t="s">
        <v>8</v>
      </c>
      <c r="C72" s="27" t="s">
        <v>8</v>
      </c>
      <c r="D72" s="44" t="s">
        <v>86</v>
      </c>
      <c r="E72" s="5" t="s">
        <v>143</v>
      </c>
      <c r="F72" s="5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5"/>
      <c r="AR72" s="5"/>
      <c r="AS72" s="3"/>
      <c r="AT72" s="3"/>
      <c r="AU72" s="3"/>
      <c r="AV72" s="3"/>
      <c r="AW72" s="5"/>
      <c r="AX72" s="3"/>
      <c r="AY72" s="3"/>
      <c r="AZ72" s="3"/>
      <c r="BA72" s="5"/>
      <c r="BB72" s="3"/>
      <c r="BC72" s="3"/>
      <c r="BD72" s="3"/>
      <c r="BE72" s="3"/>
      <c r="BF72" s="5"/>
      <c r="BG72" s="3"/>
      <c r="BH72" s="3"/>
      <c r="BI72" s="3"/>
      <c r="BJ72" s="3"/>
      <c r="BK72" s="3" t="s">
        <v>426</v>
      </c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</row>
    <row r="73" spans="1:77" s="6" customFormat="1">
      <c r="A73" s="10" t="s">
        <v>8</v>
      </c>
      <c r="B73" s="37" t="s">
        <v>612</v>
      </c>
      <c r="C73" s="27" t="s">
        <v>8</v>
      </c>
      <c r="D73" s="10" t="s">
        <v>610</v>
      </c>
      <c r="E73" s="3" t="s">
        <v>524</v>
      </c>
      <c r="F73" s="5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5"/>
      <c r="V73" s="3"/>
      <c r="W73" s="5"/>
      <c r="X73" s="3"/>
      <c r="Y73" s="3"/>
      <c r="Z73" s="5"/>
      <c r="AA73" s="5"/>
      <c r="AB73" s="5"/>
      <c r="AC73" s="3"/>
      <c r="AD73" s="5"/>
      <c r="AE73" s="5"/>
      <c r="AF73" s="3"/>
      <c r="AG73" s="5"/>
      <c r="AH73" s="5"/>
      <c r="AI73" s="5"/>
      <c r="AJ73" s="23"/>
      <c r="AK73" s="5"/>
      <c r="AL73" s="5"/>
      <c r="AM73" s="5"/>
      <c r="AN73" s="5"/>
      <c r="AO73" s="5"/>
      <c r="AP73" s="5"/>
      <c r="AQ73" s="3"/>
      <c r="AR73" s="5"/>
      <c r="AS73" s="3"/>
      <c r="AT73" s="5"/>
      <c r="AU73" s="3"/>
      <c r="AV73" s="5"/>
      <c r="AW73" s="5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 t="s">
        <v>611</v>
      </c>
      <c r="BN73" s="3" t="s">
        <v>451</v>
      </c>
      <c r="BO73" s="3" t="s">
        <v>611</v>
      </c>
      <c r="BP73" s="3"/>
      <c r="BQ73" s="3"/>
      <c r="BR73" s="3"/>
      <c r="BS73" s="3"/>
      <c r="BT73" s="3"/>
      <c r="BU73" s="3"/>
      <c r="BV73" s="3"/>
      <c r="BW73" s="3"/>
      <c r="BX73" s="3"/>
      <c r="BY73" s="3"/>
    </row>
    <row r="74" spans="1:77" s="6" customFormat="1">
      <c r="A74" s="10" t="s">
        <v>8</v>
      </c>
      <c r="B74" s="37" t="s">
        <v>8</v>
      </c>
      <c r="C74" s="27" t="s">
        <v>618</v>
      </c>
      <c r="D74" s="10" t="s">
        <v>86</v>
      </c>
      <c r="E74" s="27" t="s">
        <v>4</v>
      </c>
      <c r="F74" s="27" t="s">
        <v>99</v>
      </c>
      <c r="G74" s="3"/>
      <c r="H74" s="3"/>
      <c r="I74" s="3"/>
      <c r="J74" s="3"/>
      <c r="K74" s="3"/>
      <c r="L74" s="3"/>
      <c r="M74" s="5"/>
      <c r="N74" s="3"/>
      <c r="O74" s="3"/>
      <c r="P74" s="3"/>
      <c r="Q74" s="3"/>
      <c r="R74" s="5"/>
      <c r="S74" s="5"/>
      <c r="T74" s="5"/>
      <c r="U74" s="5"/>
      <c r="V74" s="3"/>
      <c r="W74" s="5"/>
      <c r="X74" s="5"/>
      <c r="Y74" s="3"/>
      <c r="Z74" s="5"/>
      <c r="AA74" s="5"/>
      <c r="AB74" s="3"/>
      <c r="AC74" s="5"/>
      <c r="AD74" s="3"/>
      <c r="AE74" s="3"/>
      <c r="AF74" s="3"/>
      <c r="AG74" s="3"/>
      <c r="AH74" s="5"/>
      <c r="AI74" s="5"/>
      <c r="AJ74" s="3"/>
      <c r="AK74" s="3"/>
      <c r="AL74" s="3"/>
      <c r="AM74" s="5"/>
      <c r="AN74" s="5"/>
      <c r="AO74" s="5"/>
      <c r="AP74" s="5"/>
      <c r="AQ74" s="3"/>
      <c r="AR74" s="5"/>
      <c r="AS74" s="5"/>
      <c r="AT74" s="5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 t="s">
        <v>437</v>
      </c>
      <c r="BP74" s="3"/>
      <c r="BQ74" s="3"/>
      <c r="BR74" s="3"/>
      <c r="BS74" s="3"/>
      <c r="BT74" s="3"/>
      <c r="BU74" s="3"/>
      <c r="BV74" s="3"/>
      <c r="BW74" s="3"/>
      <c r="BX74" s="3"/>
      <c r="BY74" s="3"/>
    </row>
    <row r="75" spans="1:77" s="6" customFormat="1">
      <c r="A75" s="10"/>
      <c r="B75" s="34"/>
      <c r="C75" s="7"/>
      <c r="D75" s="7"/>
      <c r="E75" s="5"/>
      <c r="F75" s="5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5"/>
      <c r="AR75" s="5"/>
      <c r="AS75" s="3"/>
      <c r="AT75" s="5"/>
      <c r="AU75" s="3"/>
      <c r="AV75" s="5"/>
      <c r="AW75" s="5"/>
      <c r="AX75" s="3"/>
      <c r="AY75" s="3"/>
      <c r="AZ75" s="3"/>
      <c r="BA75" s="5"/>
      <c r="BB75" s="3"/>
      <c r="BC75" s="3"/>
      <c r="BD75" s="3"/>
      <c r="BE75" s="5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</row>
    <row r="76" spans="1:77" s="6" customFormat="1">
      <c r="A76" s="10"/>
      <c r="B76" s="35"/>
      <c r="C76" s="7"/>
      <c r="D76" s="7"/>
      <c r="E76" s="5"/>
      <c r="F76" s="5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5"/>
      <c r="S76" s="5"/>
      <c r="T76" s="3"/>
      <c r="U76" s="5"/>
      <c r="V76" s="3"/>
      <c r="W76" s="5"/>
      <c r="X76" s="3"/>
      <c r="Y76" s="3"/>
      <c r="Z76" s="5"/>
      <c r="AA76" s="3"/>
      <c r="AB76" s="3"/>
      <c r="AC76" s="5"/>
      <c r="AD76" s="3"/>
      <c r="AE76" s="5"/>
      <c r="AF76" s="3"/>
      <c r="AG76" s="3"/>
      <c r="AH76" s="5"/>
      <c r="AI76" s="5"/>
      <c r="AJ76" s="3"/>
      <c r="AK76" s="5"/>
      <c r="AL76" s="5"/>
      <c r="AM76" s="5"/>
      <c r="AN76" s="5"/>
      <c r="AO76" s="5"/>
      <c r="AP76" s="5"/>
      <c r="AQ76" s="3"/>
      <c r="AR76" s="5"/>
      <c r="AS76" s="5"/>
      <c r="AT76" s="5"/>
      <c r="AU76" s="3"/>
      <c r="AV76" s="5"/>
      <c r="AW76" s="5"/>
      <c r="AX76" s="5"/>
      <c r="AY76" s="3"/>
      <c r="AZ76" s="3"/>
      <c r="BA76" s="3"/>
      <c r="BB76" s="3"/>
      <c r="BC76" s="5"/>
      <c r="BD76" s="5"/>
      <c r="BE76" s="5"/>
      <c r="BF76" s="5"/>
      <c r="BG76" s="3"/>
      <c r="BH76" s="5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</row>
    <row r="77" spans="1:77" s="6" customFormat="1">
      <c r="A77" s="10"/>
      <c r="B77" s="34"/>
      <c r="C77" s="7"/>
      <c r="D77" s="7"/>
      <c r="E77" s="5"/>
      <c r="F77" s="5"/>
      <c r="G77" s="3"/>
      <c r="H77" s="3"/>
      <c r="I77" s="3"/>
      <c r="J77" s="3"/>
      <c r="K77" s="3"/>
      <c r="L77" s="3"/>
      <c r="M77" s="5"/>
      <c r="N77" s="3"/>
      <c r="O77" s="3"/>
      <c r="P77" s="3"/>
      <c r="Q77" s="3"/>
      <c r="R77" s="3"/>
      <c r="S77" s="3"/>
      <c r="T77" s="5"/>
      <c r="U77" s="3"/>
      <c r="V77" s="3"/>
      <c r="W77" s="5"/>
      <c r="X77" s="5"/>
      <c r="Y77" s="5"/>
      <c r="Z77" s="3"/>
      <c r="AA77" s="5"/>
      <c r="AB77" s="3"/>
      <c r="AC77" s="3"/>
      <c r="AD77" s="3"/>
      <c r="AE77" s="5"/>
      <c r="AF77" s="3"/>
      <c r="AG77" s="3"/>
      <c r="AH77" s="5"/>
      <c r="AI77" s="5"/>
      <c r="AJ77" s="3"/>
      <c r="AK77" s="5"/>
      <c r="AL77" s="5"/>
      <c r="AM77" s="5"/>
      <c r="AN77" s="5"/>
      <c r="AO77" s="3"/>
      <c r="AP77" s="5"/>
      <c r="AQ77" s="3"/>
      <c r="AR77" s="3"/>
      <c r="AS77" s="3"/>
      <c r="AT77" s="5"/>
      <c r="AU77" s="3"/>
      <c r="AV77" s="5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</row>
    <row r="78" spans="1:77" s="6" customFormat="1">
      <c r="A78" s="10"/>
      <c r="B78" s="34"/>
      <c r="C78" s="7"/>
      <c r="D78" s="7"/>
      <c r="E78" s="5"/>
      <c r="F78" s="5"/>
      <c r="G78" s="3"/>
      <c r="H78" s="3"/>
      <c r="I78" s="3"/>
      <c r="J78" s="3"/>
      <c r="K78" s="3"/>
      <c r="L78" s="3"/>
      <c r="M78" s="3"/>
      <c r="N78" s="3"/>
      <c r="O78" s="3"/>
      <c r="P78" s="3"/>
      <c r="Q78" s="5"/>
      <c r="R78" s="5"/>
      <c r="S78" s="5"/>
      <c r="T78" s="5"/>
      <c r="U78" s="5"/>
      <c r="V78" s="5"/>
      <c r="W78" s="5"/>
      <c r="X78" s="5"/>
      <c r="Y78" s="3"/>
      <c r="Z78" s="5"/>
      <c r="AA78" s="5"/>
      <c r="AB78" s="5"/>
      <c r="AC78" s="3"/>
      <c r="AD78" s="5"/>
      <c r="AE78" s="5"/>
      <c r="AF78" s="3"/>
      <c r="AG78" s="3"/>
      <c r="AH78" s="5"/>
      <c r="AI78" s="5"/>
      <c r="AJ78" s="3"/>
      <c r="AK78" s="5"/>
      <c r="AL78" s="5"/>
      <c r="AM78" s="3"/>
      <c r="AN78" s="5"/>
      <c r="AO78" s="5"/>
      <c r="AP78" s="5"/>
      <c r="AQ78" s="5"/>
      <c r="AR78" s="5"/>
      <c r="AS78" s="5"/>
      <c r="AT78" s="5"/>
      <c r="AU78" s="3"/>
      <c r="AV78" s="5"/>
      <c r="AW78" s="5"/>
      <c r="AX78" s="5"/>
      <c r="AY78" s="5"/>
      <c r="AZ78" s="5"/>
      <c r="BA78" s="5"/>
      <c r="BB78" s="3"/>
      <c r="BC78" s="3"/>
      <c r="BD78" s="5"/>
      <c r="BE78" s="3"/>
      <c r="BF78" s="5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</row>
    <row r="79" spans="1:77" s="6" customFormat="1">
      <c r="A79" s="10"/>
      <c r="B79" s="34"/>
      <c r="C79" s="7"/>
      <c r="D79" s="7"/>
      <c r="E79" s="5"/>
      <c r="F79" s="5"/>
      <c r="G79" s="3"/>
      <c r="H79" s="3"/>
      <c r="I79" s="3"/>
      <c r="J79" s="3"/>
      <c r="K79" s="3"/>
      <c r="L79" s="3"/>
      <c r="M79" s="3"/>
      <c r="N79" s="3"/>
      <c r="O79" s="3"/>
      <c r="P79" s="5"/>
      <c r="Q79" s="3"/>
      <c r="R79" s="5"/>
      <c r="S79" s="3"/>
      <c r="T79" s="5"/>
      <c r="U79" s="5"/>
      <c r="V79" s="5"/>
      <c r="W79" s="5"/>
      <c r="X79" s="5"/>
      <c r="Y79" s="3"/>
      <c r="Z79" s="5"/>
      <c r="AA79" s="5"/>
      <c r="AB79" s="3"/>
      <c r="AC79" s="3"/>
      <c r="AD79" s="3"/>
      <c r="AE79" s="3"/>
      <c r="AF79" s="3"/>
      <c r="AG79" s="3"/>
      <c r="AH79" s="5"/>
      <c r="AI79" s="5"/>
      <c r="AJ79" s="3"/>
      <c r="AK79" s="3"/>
      <c r="AL79" s="3"/>
      <c r="AM79" s="3"/>
      <c r="AN79" s="5"/>
      <c r="AO79" s="3"/>
      <c r="AP79" s="3"/>
      <c r="AQ79" s="3"/>
      <c r="AR79" s="5"/>
      <c r="AS79" s="5"/>
      <c r="AT79" s="5"/>
      <c r="AU79" s="3"/>
      <c r="AV79" s="3"/>
      <c r="AW79" s="3"/>
      <c r="AX79" s="3"/>
      <c r="AY79" s="3"/>
      <c r="AZ79" s="3"/>
      <c r="BA79" s="3"/>
      <c r="BB79" s="3"/>
      <c r="BC79" s="3"/>
      <c r="BD79" s="5"/>
      <c r="BE79" s="5"/>
      <c r="BF79" s="5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</row>
    <row r="80" spans="1:77" s="6" customFormat="1">
      <c r="A80" s="10"/>
      <c r="B80" s="34"/>
      <c r="C80" s="7"/>
      <c r="D80" s="7"/>
      <c r="E80" s="5"/>
      <c r="F80" s="5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5"/>
      <c r="AA80" s="3"/>
      <c r="AB80" s="3"/>
      <c r="AC80" s="3"/>
      <c r="AD80" s="3"/>
      <c r="AE80" s="3"/>
      <c r="AF80" s="3"/>
      <c r="AG80" s="3"/>
      <c r="AH80" s="5"/>
      <c r="AI80" s="3"/>
      <c r="AJ80" s="3"/>
      <c r="AK80" s="3"/>
      <c r="AL80" s="3"/>
      <c r="AM80" s="3"/>
      <c r="AN80" s="3"/>
      <c r="AO80" s="5"/>
      <c r="AP80" s="5"/>
      <c r="AQ80" s="3"/>
      <c r="AR80" s="5"/>
      <c r="AS80" s="3"/>
      <c r="AT80" s="3"/>
      <c r="AU80" s="3"/>
      <c r="AV80" s="3"/>
      <c r="AW80" s="3"/>
      <c r="AX80" s="3"/>
      <c r="AY80" s="3"/>
      <c r="AZ80" s="5"/>
      <c r="BA80" s="3"/>
      <c r="BB80" s="3"/>
      <c r="BC80" s="3"/>
      <c r="BD80" s="3"/>
      <c r="BE80" s="5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1:77" s="6" customFormat="1">
      <c r="A81" s="10"/>
      <c r="B81" s="34"/>
      <c r="C81" s="10"/>
      <c r="D81" s="7"/>
      <c r="E81" s="5"/>
      <c r="F81" s="5"/>
      <c r="G81" s="3"/>
      <c r="H81" s="3"/>
      <c r="I81" s="3"/>
      <c r="J81" s="5"/>
      <c r="K81" s="3"/>
      <c r="L81" s="3"/>
      <c r="M81" s="3"/>
      <c r="N81" s="8"/>
      <c r="O81" s="3"/>
      <c r="P81" s="5"/>
      <c r="Q81" s="5"/>
      <c r="R81" s="5"/>
      <c r="S81" s="5"/>
      <c r="T81" s="5"/>
      <c r="U81" s="5"/>
      <c r="V81" s="5"/>
      <c r="W81" s="5"/>
      <c r="X81" s="3"/>
      <c r="Y81" s="3"/>
      <c r="Z81" s="5"/>
      <c r="AA81" s="5"/>
      <c r="AB81" s="5"/>
      <c r="AC81" s="3"/>
      <c r="AD81" s="5"/>
      <c r="AE81" s="3"/>
      <c r="AF81" s="3"/>
      <c r="AG81" s="5"/>
      <c r="AH81" s="5"/>
      <c r="AI81" s="5"/>
      <c r="AJ81" s="5"/>
      <c r="AK81" s="5"/>
      <c r="AL81" s="5"/>
      <c r="AM81" s="5"/>
      <c r="AN81" s="3"/>
      <c r="AO81" s="3"/>
      <c r="AP81" s="3"/>
      <c r="AQ81" s="5"/>
      <c r="AR81" s="5"/>
      <c r="AS81" s="5"/>
      <c r="AT81" s="5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</row>
    <row r="82" spans="1:77" s="6" customFormat="1">
      <c r="A82" s="10"/>
      <c r="B82" s="34"/>
      <c r="C82" s="7"/>
      <c r="D82" s="7"/>
      <c r="E82" s="5"/>
      <c r="F82" s="5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5"/>
      <c r="AR82" s="5"/>
      <c r="AS82" s="3"/>
      <c r="AT82" s="5"/>
      <c r="AU82" s="3"/>
      <c r="AV82" s="5"/>
      <c r="AW82" s="5"/>
      <c r="AX82" s="3"/>
      <c r="AY82" s="3"/>
      <c r="AZ82" s="3"/>
      <c r="BA82" s="5"/>
      <c r="BB82" s="3"/>
      <c r="BC82" s="3"/>
      <c r="BD82" s="3"/>
      <c r="BE82" s="5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</row>
    <row r="83" spans="1:77" s="6" customFormat="1">
      <c r="A83" s="10"/>
      <c r="B83" s="34"/>
      <c r="C83" s="7"/>
      <c r="D83" s="7"/>
      <c r="E83" s="5"/>
      <c r="F83" s="5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5"/>
      <c r="AS83" s="3"/>
      <c r="AT83" s="5"/>
      <c r="AU83" s="3"/>
      <c r="AV83" s="3"/>
      <c r="AW83" s="5"/>
      <c r="AX83" s="5"/>
      <c r="AY83" s="3"/>
      <c r="AZ83" s="3"/>
      <c r="BA83" s="5"/>
      <c r="BB83" s="3"/>
      <c r="BC83" s="5"/>
      <c r="BD83" s="3"/>
      <c r="BE83" s="5"/>
      <c r="BF83" s="3"/>
      <c r="BG83" s="5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1:77" s="6" customFormat="1">
      <c r="A84" s="10"/>
      <c r="B84" s="35"/>
      <c r="C84" s="7"/>
      <c r="D84" s="7"/>
      <c r="E84" s="5"/>
      <c r="F84" s="5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5"/>
      <c r="AA84" s="3"/>
      <c r="AB84" s="5"/>
      <c r="AC84" s="3"/>
      <c r="AD84" s="5"/>
      <c r="AE84" s="3"/>
      <c r="AF84" s="3"/>
      <c r="AG84" s="5"/>
      <c r="AH84" s="5"/>
      <c r="AI84" s="3"/>
      <c r="AJ84" s="5"/>
      <c r="AK84" s="5"/>
      <c r="AL84" s="5"/>
      <c r="AM84" s="5"/>
      <c r="AN84" s="3"/>
      <c r="AO84" s="5"/>
      <c r="AP84" s="5"/>
      <c r="AQ84" s="5"/>
      <c r="AR84" s="5"/>
      <c r="AS84" s="5"/>
      <c r="AT84" s="5"/>
      <c r="AU84" s="3"/>
      <c r="AV84" s="5"/>
      <c r="AW84" s="5"/>
      <c r="AX84" s="3"/>
      <c r="AY84" s="5"/>
      <c r="AZ84" s="5"/>
      <c r="BA84" s="5"/>
      <c r="BB84" s="3"/>
      <c r="BC84" s="3"/>
      <c r="BD84" s="5"/>
      <c r="BE84" s="3"/>
      <c r="BF84" s="5"/>
      <c r="BG84" s="3"/>
      <c r="BH84" s="3"/>
      <c r="BI84" s="3"/>
      <c r="BJ84" s="5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</row>
    <row r="85" spans="1:77" s="6" customFormat="1">
      <c r="A85" s="10"/>
      <c r="B85" s="34"/>
      <c r="C85" s="7"/>
      <c r="D85" s="7"/>
      <c r="E85" s="5"/>
      <c r="F85" s="5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5"/>
      <c r="V85" s="3"/>
      <c r="W85" s="3"/>
      <c r="X85" s="3"/>
      <c r="Y85" s="3"/>
      <c r="Z85" s="3"/>
      <c r="AA85" s="5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5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</row>
    <row r="86" spans="1:77" s="6" customFormat="1">
      <c r="A86" s="10"/>
      <c r="B86" s="35"/>
      <c r="C86" s="7"/>
      <c r="D86" s="7"/>
      <c r="E86" s="5"/>
      <c r="F86" s="5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5"/>
      <c r="AQ86" s="3"/>
      <c r="AR86" s="3"/>
      <c r="AS86" s="3"/>
      <c r="AT86" s="3"/>
      <c r="AU86" s="3"/>
      <c r="AV86" s="3"/>
      <c r="AW86" s="3"/>
      <c r="AX86" s="5"/>
      <c r="AY86" s="3"/>
      <c r="AZ86" s="3"/>
      <c r="BA86" s="3"/>
      <c r="BB86" s="3"/>
      <c r="BC86" s="3"/>
      <c r="BD86" s="3"/>
      <c r="BE86" s="5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</row>
    <row r="87" spans="1:77" s="6" customFormat="1">
      <c r="A87" s="10"/>
      <c r="B87" s="35"/>
      <c r="C87" s="7"/>
      <c r="D87" s="7"/>
      <c r="E87" s="5"/>
      <c r="F87" s="5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5"/>
      <c r="AQ87" s="5"/>
      <c r="AR87" s="3"/>
      <c r="AS87" s="3"/>
      <c r="AT87" s="5"/>
      <c r="AU87" s="3"/>
      <c r="AV87" s="5"/>
      <c r="AW87" s="3"/>
      <c r="AX87" s="5"/>
      <c r="AY87" s="3"/>
      <c r="AZ87" s="3"/>
      <c r="BA87" s="3"/>
      <c r="BB87" s="3"/>
      <c r="BC87" s="3"/>
      <c r="BD87" s="3"/>
      <c r="BE87" s="5"/>
      <c r="BF87" s="5"/>
      <c r="BG87" s="3"/>
      <c r="BH87" s="5"/>
      <c r="BI87" s="3"/>
      <c r="BJ87" s="5"/>
      <c r="BK87" s="3"/>
      <c r="BL87" s="5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7" s="6" customFormat="1">
      <c r="A88" s="10"/>
      <c r="B88" s="35"/>
      <c r="C88" s="7"/>
      <c r="D88" s="5"/>
      <c r="E88" s="5"/>
      <c r="F88" s="5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5"/>
      <c r="AM88" s="5"/>
      <c r="AN88" s="5"/>
      <c r="AO88" s="5"/>
      <c r="AP88" s="5"/>
      <c r="AQ88" s="3"/>
      <c r="AR88" s="5"/>
      <c r="AS88" s="5"/>
      <c r="AT88" s="5"/>
      <c r="AU88" s="3"/>
      <c r="AV88" s="5"/>
      <c r="AW88" s="3"/>
      <c r="AX88" s="5"/>
      <c r="AY88" s="3"/>
      <c r="AZ88" s="3"/>
      <c r="BA88" s="5"/>
      <c r="BB88" s="5"/>
      <c r="BC88" s="5"/>
      <c r="BD88" s="5"/>
      <c r="BE88" s="5"/>
      <c r="BF88" s="5"/>
      <c r="BG88" s="5"/>
      <c r="BH88" s="3"/>
      <c r="BI88" s="3"/>
      <c r="BJ88" s="5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1:77" s="6" customFormat="1">
      <c r="A89" s="10"/>
      <c r="B89" s="35"/>
      <c r="C89" s="7"/>
      <c r="D89" s="7"/>
      <c r="E89" s="5"/>
      <c r="F89" s="5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5"/>
      <c r="S89" s="5"/>
      <c r="T89" s="3"/>
      <c r="U89" s="3"/>
      <c r="V89" s="3"/>
      <c r="W89" s="5"/>
      <c r="X89" s="3"/>
      <c r="Y89" s="3"/>
      <c r="Z89" s="3"/>
      <c r="AA89" s="5"/>
      <c r="AB89" s="5"/>
      <c r="AC89" s="3"/>
      <c r="AD89" s="5"/>
      <c r="AE89" s="3"/>
      <c r="AF89" s="3"/>
      <c r="AG89" s="3"/>
      <c r="AH89" s="3"/>
      <c r="AI89" s="3"/>
      <c r="AJ89" s="3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3"/>
      <c r="AV89" s="5"/>
      <c r="AW89" s="5"/>
      <c r="AX89" s="5"/>
      <c r="AY89" s="5"/>
      <c r="AZ89" s="5"/>
      <c r="BA89" s="5"/>
      <c r="BB89" s="3"/>
      <c r="BC89" s="5"/>
      <c r="BD89" s="5"/>
      <c r="BE89" s="5"/>
      <c r="BF89" s="5"/>
      <c r="BG89" s="5"/>
      <c r="BH89" s="5"/>
      <c r="BI89" s="3"/>
      <c r="BJ89" s="5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1:77" s="6" customFormat="1">
      <c r="A90" s="10"/>
      <c r="B90" s="35"/>
      <c r="C90" s="7"/>
      <c r="D90" s="7"/>
      <c r="E90" s="5"/>
      <c r="F90" s="5"/>
      <c r="G90" s="3"/>
      <c r="H90" s="3"/>
      <c r="I90" s="3"/>
      <c r="J90" s="5"/>
      <c r="K90" s="3"/>
      <c r="L90" s="3"/>
      <c r="M90" s="5"/>
      <c r="N90" s="5"/>
      <c r="O90" s="3"/>
      <c r="P90" s="3"/>
      <c r="Q90" s="5"/>
      <c r="R90" s="5"/>
      <c r="S90" s="5"/>
      <c r="T90" s="5"/>
      <c r="U90" s="5"/>
      <c r="V90" s="5"/>
      <c r="W90" s="5"/>
      <c r="X90" s="3"/>
      <c r="Y90" s="3"/>
      <c r="Z90" s="5"/>
      <c r="AA90" s="5"/>
      <c r="AB90" s="5"/>
      <c r="AC90" s="5"/>
      <c r="AD90" s="5"/>
      <c r="AE90" s="3"/>
      <c r="AF90" s="3"/>
      <c r="AG90" s="5"/>
      <c r="AH90" s="3"/>
      <c r="AI90" s="3"/>
      <c r="AJ90" s="5"/>
      <c r="AK90" s="5"/>
      <c r="AL90" s="5"/>
      <c r="AM90" s="3"/>
      <c r="AN90" s="3"/>
      <c r="AO90" s="5"/>
      <c r="AP90" s="5"/>
      <c r="AQ90" s="3"/>
      <c r="AR90" s="5"/>
      <c r="AS90" s="5"/>
      <c r="AT90" s="3"/>
      <c r="AU90" s="3"/>
      <c r="AV90" s="5"/>
      <c r="AW90" s="5"/>
      <c r="AX90" s="5"/>
      <c r="AY90" s="3"/>
      <c r="AZ90" s="3"/>
      <c r="BA90" s="3"/>
      <c r="BB90" s="3"/>
      <c r="BC90" s="3"/>
      <c r="BD90" s="5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7" s="6" customFormat="1">
      <c r="A91" s="10"/>
      <c r="B91" s="35"/>
      <c r="C91" s="7"/>
      <c r="D91" s="7"/>
      <c r="E91" s="5"/>
      <c r="F91" s="5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5"/>
      <c r="AA91" s="5"/>
      <c r="AB91" s="5"/>
      <c r="AC91" s="5"/>
      <c r="AD91" s="5"/>
      <c r="AE91" s="3"/>
      <c r="AF91" s="3"/>
      <c r="AG91" s="5"/>
      <c r="AH91" s="3"/>
      <c r="AI91" s="3"/>
      <c r="AJ91" s="3"/>
      <c r="AK91" s="3"/>
      <c r="AL91" s="3"/>
      <c r="AM91" s="3"/>
      <c r="AN91" s="3"/>
      <c r="AO91" s="5"/>
      <c r="AP91" s="5"/>
      <c r="AQ91" s="3"/>
      <c r="AR91" s="5"/>
      <c r="AS91" s="5"/>
      <c r="AT91" s="5"/>
      <c r="AU91" s="3"/>
      <c r="AV91" s="5"/>
      <c r="AW91" s="5"/>
      <c r="AX91" s="5"/>
      <c r="AY91" s="3"/>
      <c r="AZ91" s="5"/>
      <c r="BA91" s="5"/>
      <c r="BB91" s="3"/>
      <c r="BC91" s="3"/>
      <c r="BD91" s="5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</row>
    <row r="92" spans="1:77" s="6" customFormat="1">
      <c r="A92" s="10"/>
      <c r="B92" s="34"/>
      <c r="C92" s="7"/>
      <c r="D92" s="7"/>
      <c r="E92" s="5"/>
      <c r="F92" s="5"/>
      <c r="G92" s="3"/>
      <c r="H92" s="3"/>
      <c r="I92" s="3"/>
      <c r="J92" s="5"/>
      <c r="K92" s="3"/>
      <c r="L92" s="3"/>
      <c r="M92" s="3"/>
      <c r="N92" s="5"/>
      <c r="O92" s="3"/>
      <c r="P92" s="3"/>
      <c r="Q92" s="3"/>
      <c r="R92" s="5"/>
      <c r="S92" s="5"/>
      <c r="T92" s="3"/>
      <c r="U92" s="3"/>
      <c r="V92" s="3"/>
      <c r="W92" s="5"/>
      <c r="X92" s="3"/>
      <c r="Y92" s="3"/>
      <c r="Z92" s="5"/>
      <c r="AA92" s="5"/>
      <c r="AB92" s="5"/>
      <c r="AC92" s="3"/>
      <c r="AD92" s="5"/>
      <c r="AE92" s="3"/>
      <c r="AF92" s="3"/>
      <c r="AG92" s="3"/>
      <c r="AH92" s="3"/>
      <c r="AI92" s="3"/>
      <c r="AJ92" s="3"/>
      <c r="AK92" s="5"/>
      <c r="AL92" s="3"/>
      <c r="AM92" s="5"/>
      <c r="AN92" s="5"/>
      <c r="AO92" s="5"/>
      <c r="AP92" s="5"/>
      <c r="AQ92" s="3"/>
      <c r="AR92" s="5"/>
      <c r="AS92" s="5"/>
      <c r="AT92" s="5"/>
      <c r="AU92" s="3"/>
      <c r="AV92" s="5"/>
      <c r="AW92" s="5"/>
      <c r="AX92" s="5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1:77" s="6" customFormat="1">
      <c r="A93" s="10"/>
      <c r="B93" s="34"/>
      <c r="C93" s="7"/>
      <c r="D93" s="7"/>
      <c r="E93" s="5"/>
      <c r="F93" s="5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5"/>
      <c r="AS93" s="5"/>
      <c r="AT93" s="5"/>
      <c r="AU93" s="3"/>
      <c r="AV93" s="5"/>
      <c r="AW93" s="5"/>
      <c r="AX93" s="5"/>
      <c r="AY93" s="3"/>
      <c r="AZ93" s="3"/>
      <c r="BA93" s="5"/>
      <c r="BB93" s="3"/>
      <c r="BC93" s="5"/>
      <c r="BD93" s="3"/>
      <c r="BE93" s="5"/>
      <c r="BF93" s="3"/>
      <c r="BG93" s="5"/>
      <c r="BH93" s="5"/>
      <c r="BI93" s="3"/>
      <c r="BJ93" s="3"/>
      <c r="BK93" s="5"/>
      <c r="BL93" s="5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7" s="6" customFormat="1">
      <c r="A94" s="10"/>
      <c r="B94" s="35"/>
      <c r="C94" s="7"/>
      <c r="D94" s="7"/>
      <c r="E94" s="5"/>
      <c r="F94" s="5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5"/>
      <c r="AS94" s="3"/>
      <c r="AT94" s="5"/>
      <c r="AU94" s="3"/>
      <c r="AV94" s="5"/>
      <c r="AW94" s="5"/>
      <c r="AX94" s="3"/>
      <c r="AY94" s="3"/>
      <c r="AZ94" s="3"/>
      <c r="BA94" s="5"/>
      <c r="BB94" s="3"/>
      <c r="BC94" s="3"/>
      <c r="BD94" s="3"/>
      <c r="BE94" s="3"/>
      <c r="BF94" s="5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7" s="6" customFormat="1">
      <c r="A95" s="10"/>
      <c r="B95" s="35"/>
      <c r="C95" s="7"/>
      <c r="D95" s="7"/>
      <c r="E95" s="5"/>
      <c r="F95" s="5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5"/>
      <c r="AS95" s="3"/>
      <c r="AT95" s="3"/>
      <c r="AU95" s="3"/>
      <c r="AV95" s="5"/>
      <c r="AW95" s="3"/>
      <c r="AX95" s="3"/>
      <c r="AY95" s="3"/>
      <c r="AZ95" s="3"/>
      <c r="BA95" s="3"/>
      <c r="BB95" s="3"/>
      <c r="BC95" s="3"/>
      <c r="BD95" s="3"/>
      <c r="BE95" s="3"/>
      <c r="BF95" s="5"/>
      <c r="BG95" s="5"/>
      <c r="BH95" s="5"/>
      <c r="BI95" s="3"/>
      <c r="BJ95" s="5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7" s="6" customFormat="1">
      <c r="A96" s="10"/>
      <c r="B96" s="34"/>
      <c r="C96" s="7"/>
      <c r="D96" s="7"/>
      <c r="E96" s="5"/>
      <c r="F96" s="5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5"/>
      <c r="AR96" s="5"/>
      <c r="AS96" s="3"/>
      <c r="AT96" s="5"/>
      <c r="AU96" s="3"/>
      <c r="AV96" s="5"/>
      <c r="AW96" s="5"/>
      <c r="AX96" s="5"/>
      <c r="AY96" s="3"/>
      <c r="AZ96" s="3"/>
      <c r="BA96" s="5"/>
      <c r="BB96" s="5"/>
      <c r="BC96" s="5"/>
      <c r="BD96" s="3"/>
      <c r="BE96" s="5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  <row r="97" spans="1:77" s="6" customFormat="1">
      <c r="A97" s="10"/>
      <c r="B97" s="34"/>
      <c r="C97" s="7"/>
      <c r="D97" s="7"/>
      <c r="E97" s="5"/>
      <c r="F97" s="5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5"/>
      <c r="AS97" s="5"/>
      <c r="AT97" s="3"/>
      <c r="AU97" s="3"/>
      <c r="AV97" s="5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1:77" s="6" customFormat="1">
      <c r="A98" s="10"/>
      <c r="B98" s="35"/>
      <c r="C98" s="7"/>
      <c r="D98" s="7"/>
      <c r="E98" s="5"/>
      <c r="F98" s="5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5"/>
      <c r="AS98" s="3"/>
      <c r="AT98" s="5"/>
      <c r="AU98" s="3"/>
      <c r="AV98" s="5"/>
      <c r="AW98" s="5"/>
      <c r="AX98" s="5"/>
      <c r="AY98" s="3"/>
      <c r="AZ98" s="3"/>
      <c r="BA98" s="5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</row>
    <row r="99" spans="1:77" s="6" customFormat="1">
      <c r="A99" s="10"/>
      <c r="B99" s="34"/>
      <c r="C99" s="7"/>
      <c r="D99" s="7"/>
      <c r="E99" s="5"/>
      <c r="F99" s="5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5"/>
      <c r="AT99" s="5"/>
      <c r="AU99" s="3"/>
      <c r="AV99" s="3"/>
      <c r="AW99" s="5"/>
      <c r="AX99" s="3"/>
      <c r="AY99" s="3"/>
      <c r="AZ99" s="3"/>
      <c r="BA99" s="3"/>
      <c r="BB99" s="3"/>
      <c r="BC99" s="3"/>
      <c r="BD99" s="3"/>
      <c r="BE99" s="3"/>
      <c r="BF99" s="5"/>
      <c r="BG99" s="5"/>
      <c r="BH99" s="3"/>
      <c r="BI99" s="3"/>
      <c r="BJ99" s="5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</row>
    <row r="100" spans="1:77" s="6" customFormat="1">
      <c r="A100" s="10"/>
      <c r="B100" s="34"/>
      <c r="C100" s="7"/>
      <c r="D100" s="7"/>
      <c r="E100" s="5"/>
      <c r="F100" s="5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5"/>
      <c r="AU100" s="3"/>
      <c r="AV100" s="3"/>
      <c r="AW100" s="5"/>
      <c r="AX100" s="3"/>
      <c r="AY100" s="3"/>
      <c r="AZ100" s="3"/>
      <c r="BA100" s="5"/>
      <c r="BB100" s="3"/>
      <c r="BC100" s="3"/>
      <c r="BD100" s="3"/>
      <c r="BE100" s="3"/>
      <c r="BF100" s="5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</row>
    <row r="101" spans="1:77" s="6" customFormat="1">
      <c r="A101" s="10"/>
      <c r="B101" s="35"/>
      <c r="C101" s="7"/>
      <c r="D101" s="7"/>
      <c r="E101" s="5"/>
      <c r="F101" s="5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5"/>
      <c r="AU101" s="5"/>
      <c r="AV101" s="5"/>
      <c r="AW101" s="5"/>
      <c r="AX101" s="5"/>
      <c r="AY101" s="3"/>
      <c r="AZ101" s="5"/>
      <c r="BA101" s="5"/>
      <c r="BB101" s="5"/>
      <c r="BC101" s="5"/>
      <c r="BD101" s="3"/>
      <c r="BE101" s="3"/>
      <c r="BF101" s="5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</row>
    <row r="102" spans="1:77" s="6" customFormat="1">
      <c r="A102" s="10"/>
      <c r="B102" s="35"/>
      <c r="C102" s="7"/>
      <c r="D102" s="7"/>
      <c r="E102" s="5"/>
      <c r="F102" s="5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5"/>
      <c r="AX102" s="5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5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</row>
    <row r="103" spans="1:77" s="6" customFormat="1">
      <c r="A103" s="10"/>
      <c r="B103" s="34"/>
      <c r="D103" s="7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</row>
    <row r="104" spans="1:77" s="6" customFormat="1">
      <c r="A104" s="10"/>
      <c r="B104" s="34"/>
      <c r="C104" s="7"/>
      <c r="D104" s="7"/>
      <c r="E104" s="5"/>
      <c r="F104" s="5"/>
      <c r="G104" s="5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5"/>
      <c r="AW104" s="5"/>
      <c r="AX104" s="5"/>
      <c r="AY104" s="3"/>
      <c r="AZ104" s="3"/>
      <c r="BA104" s="3"/>
      <c r="BB104" s="3"/>
      <c r="BC104" s="3"/>
      <c r="BD104" s="3"/>
      <c r="BE104" s="3"/>
      <c r="BF104" s="5"/>
      <c r="BG104" s="5"/>
      <c r="BH104" s="5"/>
      <c r="BI104" s="3"/>
      <c r="BJ104" s="5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</row>
    <row r="105" spans="1:77" s="6" customFormat="1">
      <c r="A105" s="10"/>
      <c r="B105" s="35"/>
      <c r="C105" s="7"/>
      <c r="D105" s="7"/>
      <c r="E105" s="5"/>
      <c r="F105" s="5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5"/>
      <c r="AV105" s="3"/>
      <c r="AW105" s="5"/>
      <c r="AX105" s="3"/>
      <c r="AY105" s="3"/>
      <c r="AZ105" s="3"/>
      <c r="BA105" s="3"/>
      <c r="BB105" s="3"/>
      <c r="BC105" s="3"/>
      <c r="BD105" s="3"/>
      <c r="BE105" s="3"/>
      <c r="BF105" s="5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</row>
    <row r="106" spans="1:77" s="6" customFormat="1">
      <c r="A106" s="10"/>
      <c r="B106" s="35"/>
      <c r="C106" s="7"/>
      <c r="D106" s="7"/>
      <c r="E106" s="5"/>
      <c r="F106" s="5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5"/>
      <c r="AV106" s="3"/>
      <c r="AW106" s="5"/>
      <c r="AX106" s="3"/>
      <c r="AY106" s="3"/>
      <c r="AZ106" s="3"/>
      <c r="BA106" s="3"/>
      <c r="BB106" s="3"/>
      <c r="BC106" s="3"/>
      <c r="BD106" s="3"/>
      <c r="BE106" s="3"/>
      <c r="BF106" s="5"/>
      <c r="BG106" s="5"/>
      <c r="BH106" s="5"/>
      <c r="BI106" s="3"/>
      <c r="BJ106" s="5"/>
      <c r="BK106" s="5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</row>
    <row r="107" spans="1:77" s="6" customFormat="1">
      <c r="A107" s="10"/>
      <c r="B107" s="34"/>
      <c r="C107" s="7"/>
      <c r="D107" s="7"/>
      <c r="E107" s="5"/>
      <c r="F107" s="5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5"/>
      <c r="AW107" s="5"/>
      <c r="AX107" s="5"/>
      <c r="AY107" s="3"/>
      <c r="AZ107" s="3"/>
      <c r="BA107" s="3"/>
      <c r="BB107" s="3"/>
      <c r="BC107" s="3"/>
      <c r="BD107" s="3"/>
      <c r="BE107" s="3"/>
      <c r="BF107" s="5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</row>
    <row r="108" spans="1:77" s="6" customFormat="1">
      <c r="A108" s="10"/>
      <c r="B108" s="34"/>
      <c r="C108" s="7"/>
      <c r="D108" s="7"/>
      <c r="E108" s="5"/>
      <c r="F108" s="5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5"/>
      <c r="AW108" s="5"/>
      <c r="AX108" s="3"/>
      <c r="AY108" s="3"/>
      <c r="AZ108" s="3"/>
      <c r="BA108" s="5"/>
      <c r="BB108" s="5"/>
      <c r="BC108" s="5"/>
      <c r="BD108" s="3"/>
      <c r="BE108" s="5"/>
      <c r="BF108" s="3"/>
      <c r="BG108" s="5"/>
      <c r="BH108" s="5"/>
      <c r="BI108" s="3"/>
      <c r="BJ108" s="3"/>
      <c r="BK108" s="5"/>
      <c r="BL108" s="5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</row>
    <row r="109" spans="1:77" s="6" customFormat="1">
      <c r="A109" s="10"/>
      <c r="B109" s="35"/>
      <c r="C109" s="7"/>
      <c r="D109" s="7"/>
      <c r="E109" s="5"/>
      <c r="F109" s="5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5"/>
      <c r="AW109" s="5"/>
      <c r="AX109" s="5"/>
      <c r="AY109" s="3"/>
      <c r="AZ109" s="3"/>
      <c r="BA109" s="3"/>
      <c r="BB109" s="3"/>
      <c r="BC109" s="3"/>
      <c r="BD109" s="3"/>
      <c r="BE109" s="3"/>
      <c r="BF109" s="5"/>
      <c r="BG109" s="5"/>
      <c r="BH109" s="3"/>
      <c r="BI109" s="3"/>
      <c r="BJ109" s="3"/>
      <c r="BK109" s="3"/>
      <c r="BL109" s="5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</row>
    <row r="110" spans="1:77" s="6" customFormat="1">
      <c r="A110" s="10"/>
      <c r="B110" s="35"/>
      <c r="C110" s="7"/>
      <c r="D110" s="7"/>
      <c r="E110" s="5"/>
      <c r="F110" s="5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5"/>
      <c r="AW110" s="5"/>
      <c r="AX110" s="5"/>
      <c r="AY110" s="3"/>
      <c r="AZ110" s="3"/>
      <c r="BA110" s="3"/>
      <c r="BB110" s="3"/>
      <c r="BC110" s="3"/>
      <c r="BD110" s="3"/>
      <c r="BE110" s="3"/>
      <c r="BF110" s="3"/>
      <c r="BG110" s="5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</row>
    <row r="111" spans="1:77" s="6" customFormat="1">
      <c r="A111" s="10"/>
      <c r="B111" s="35"/>
      <c r="C111" s="7"/>
      <c r="D111" s="7"/>
      <c r="E111" s="5"/>
      <c r="F111" s="5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5"/>
      <c r="AW111" s="5"/>
      <c r="AX111" s="5"/>
      <c r="AY111" s="3"/>
      <c r="AZ111" s="3"/>
      <c r="BA111" s="5"/>
      <c r="BB111" s="5"/>
      <c r="BC111" s="5"/>
      <c r="BD111" s="3"/>
      <c r="BE111" s="5"/>
      <c r="BF111" s="3"/>
      <c r="BG111" s="5"/>
      <c r="BH111" s="3"/>
      <c r="BI111" s="5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</row>
    <row r="112" spans="1:77" s="6" customFormat="1">
      <c r="A112" s="10"/>
      <c r="B112" s="35"/>
      <c r="C112" s="7"/>
      <c r="D112" s="7"/>
      <c r="E112" s="5"/>
      <c r="F112" s="5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5"/>
      <c r="AW112" s="5"/>
      <c r="AX112" s="5"/>
      <c r="AY112" s="3"/>
      <c r="AZ112" s="3"/>
      <c r="BA112" s="3"/>
      <c r="BB112" s="3"/>
      <c r="BC112" s="3"/>
      <c r="BD112" s="5"/>
      <c r="BE112" s="3"/>
      <c r="BF112" s="3"/>
      <c r="BG112" s="3"/>
      <c r="BH112" s="5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</row>
    <row r="113" spans="1:77" s="6" customFormat="1">
      <c r="A113" s="10"/>
      <c r="B113" s="35"/>
      <c r="C113" s="19"/>
      <c r="D113" s="7"/>
      <c r="E113" s="5"/>
      <c r="F113" s="5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5"/>
      <c r="BG113" s="3"/>
      <c r="BH113" s="5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</row>
    <row r="114" spans="1:77" s="18" customFormat="1">
      <c r="A114" s="28"/>
      <c r="B114" s="39"/>
      <c r="C114" s="19"/>
      <c r="D114" s="19"/>
      <c r="E114" s="5"/>
      <c r="F114" s="5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2"/>
      <c r="AX114" s="31"/>
      <c r="AY114" s="31"/>
      <c r="AZ114" s="32"/>
      <c r="BA114" s="31"/>
      <c r="BB114" s="31"/>
      <c r="BC114" s="31"/>
      <c r="BD114" s="31"/>
      <c r="BE114" s="31"/>
      <c r="BF114" s="32"/>
      <c r="BG114" s="31"/>
      <c r="BH114" s="31"/>
      <c r="BI114" s="31"/>
      <c r="BJ114" s="3"/>
      <c r="BK114" s="31"/>
      <c r="BL114" s="31"/>
      <c r="BM114" s="31"/>
      <c r="BN114" s="31"/>
      <c r="BO114" s="31"/>
      <c r="BP114" s="31"/>
      <c r="BQ114" s="31"/>
      <c r="BR114" s="31"/>
      <c r="BS114" s="31"/>
      <c r="BT114" s="31"/>
      <c r="BU114" s="31"/>
      <c r="BV114" s="31"/>
      <c r="BW114" s="31"/>
      <c r="BX114" s="31"/>
      <c r="BY114" s="31"/>
    </row>
    <row r="115" spans="1:77" s="15" customFormat="1">
      <c r="A115" s="29"/>
      <c r="B115" s="34"/>
      <c r="C115" s="16"/>
      <c r="D115" s="16"/>
      <c r="E115" s="5"/>
      <c r="F115" s="5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5"/>
      <c r="AX115" s="5"/>
      <c r="AY115" s="3"/>
      <c r="AZ115" s="3"/>
      <c r="BA115" s="5"/>
      <c r="BB115" s="5"/>
      <c r="BC115" s="5"/>
      <c r="BD115" s="3"/>
      <c r="BE115" s="5"/>
      <c r="BF115" s="3"/>
      <c r="BG115" s="5"/>
      <c r="BH115" s="3"/>
      <c r="BI115" s="3"/>
      <c r="BJ115" s="3"/>
      <c r="BK115" s="5"/>
      <c r="BL115" s="5"/>
      <c r="BM115" s="3"/>
      <c r="BN115" s="3"/>
      <c r="BO115" s="3"/>
    </row>
    <row r="116" spans="1:77" s="15" customFormat="1">
      <c r="A116" s="29"/>
      <c r="B116" s="34"/>
      <c r="C116" s="16"/>
      <c r="D116" s="16"/>
      <c r="E116" s="5"/>
      <c r="F116" s="5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5"/>
      <c r="AX116" s="5"/>
      <c r="AY116" s="3"/>
      <c r="AZ116" s="3"/>
      <c r="BA116" s="5"/>
      <c r="BB116" s="5"/>
      <c r="BC116" s="5"/>
      <c r="BD116" s="3"/>
      <c r="BE116" s="5"/>
      <c r="BF116" s="3"/>
      <c r="BG116" s="5"/>
      <c r="BH116" s="3"/>
      <c r="BI116" s="3"/>
      <c r="BJ116" s="3"/>
      <c r="BK116" s="5"/>
      <c r="BL116" s="5"/>
      <c r="BM116" s="3"/>
      <c r="BN116" s="3"/>
      <c r="BO116" s="3"/>
    </row>
    <row r="117" spans="1:77" s="15" customFormat="1">
      <c r="A117" s="29"/>
      <c r="B117" s="34"/>
      <c r="C117" s="16"/>
      <c r="D117" s="16"/>
      <c r="E117" s="5"/>
      <c r="F117" s="5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K117" s="3"/>
      <c r="BL117" s="3"/>
      <c r="BM117" s="3"/>
      <c r="BN117" s="3"/>
      <c r="BO117" s="3"/>
    </row>
    <row r="118" spans="1:77" s="6" customFormat="1">
      <c r="A118" s="10"/>
      <c r="B118" s="34"/>
      <c r="C118" s="7"/>
      <c r="D118" s="7"/>
      <c r="E118" s="5"/>
      <c r="F118" s="5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5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</row>
    <row r="119" spans="1:77" s="6" customFormat="1">
      <c r="A119" s="10"/>
      <c r="B119" s="35"/>
      <c r="C119" s="7"/>
      <c r="D119" s="16"/>
      <c r="E119" s="5"/>
      <c r="F119" s="5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5"/>
      <c r="BB119" s="3"/>
      <c r="BC119" s="3"/>
      <c r="BD119" s="3"/>
      <c r="BE119" s="3"/>
      <c r="BF119" s="3"/>
      <c r="BG119" s="3"/>
      <c r="BH119" s="3"/>
      <c r="BI119" s="3"/>
      <c r="BJ119" s="3"/>
      <c r="BK119" s="5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</row>
    <row r="120" spans="1:77" s="6" customFormat="1">
      <c r="A120" s="10"/>
      <c r="B120" s="34"/>
      <c r="C120" s="7"/>
      <c r="D120" s="16"/>
      <c r="E120" s="5"/>
      <c r="F120" s="5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5"/>
      <c r="BB120" s="5"/>
      <c r="BC120" s="5"/>
      <c r="BD120" s="3"/>
      <c r="BE120" s="5"/>
      <c r="BF120" s="3"/>
      <c r="BG120" s="5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</row>
    <row r="121" spans="1:77" s="6" customFormat="1">
      <c r="A121" s="10"/>
      <c r="B121" s="35"/>
      <c r="C121" s="7"/>
      <c r="D121" s="16"/>
      <c r="E121" s="3"/>
      <c r="F121" s="5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5"/>
      <c r="AY121" s="3"/>
      <c r="AZ121" s="3"/>
      <c r="BA121" s="5"/>
      <c r="BB121" s="5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</row>
    <row r="122" spans="1:77" s="6" customFormat="1">
      <c r="A122" s="10"/>
      <c r="B122" s="34"/>
      <c r="C122" s="7"/>
      <c r="D122" s="16"/>
      <c r="E122" s="5"/>
      <c r="F122" s="5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5"/>
      <c r="BB122" s="5"/>
      <c r="BC122" s="5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</row>
    <row r="123" spans="1:77" s="6" customFormat="1">
      <c r="A123" s="10"/>
      <c r="B123" s="34"/>
      <c r="C123" s="7"/>
      <c r="D123" s="16"/>
      <c r="E123" s="5"/>
      <c r="F123" s="5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5"/>
      <c r="BB123" s="5"/>
      <c r="BC123" s="5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</row>
    <row r="124" spans="1:77" s="6" customFormat="1">
      <c r="A124" s="10"/>
      <c r="B124" s="34"/>
      <c r="C124" s="7"/>
      <c r="D124" s="16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5"/>
      <c r="BB124" s="5"/>
      <c r="BC124" s="5"/>
      <c r="BD124" s="3"/>
      <c r="BE124" s="5"/>
      <c r="BF124" s="3"/>
      <c r="BG124" s="5"/>
      <c r="BH124" s="3"/>
      <c r="BI124" s="3"/>
      <c r="BJ124" s="3"/>
      <c r="BK124" s="5"/>
      <c r="BL124" s="5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</row>
    <row r="125" spans="1:77" s="6" customFormat="1">
      <c r="A125" s="10"/>
      <c r="B125" s="34"/>
      <c r="C125" s="7"/>
      <c r="D125" s="16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5"/>
      <c r="BB125" s="5"/>
      <c r="BC125" s="3"/>
      <c r="BD125" s="3"/>
      <c r="BE125" s="5"/>
      <c r="BF125" s="5"/>
      <c r="BG125" s="5"/>
      <c r="BH125" s="3"/>
      <c r="BI125" s="3"/>
      <c r="BJ125" s="3"/>
      <c r="BK125" s="5"/>
      <c r="BL125" s="5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</row>
    <row r="126" spans="1:77" s="6" customFormat="1">
      <c r="A126" s="10"/>
      <c r="B126" s="35"/>
      <c r="C126" s="7"/>
      <c r="D126" s="7"/>
      <c r="E126" s="5"/>
      <c r="F126" s="5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5"/>
      <c r="BB126" s="5"/>
      <c r="BC126" s="5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</row>
    <row r="127" spans="1:77" s="6" customFormat="1">
      <c r="A127" s="10"/>
      <c r="B127" s="35"/>
      <c r="C127" s="7"/>
      <c r="D127" s="16"/>
      <c r="E127" s="5"/>
      <c r="F127" s="5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5"/>
      <c r="BB127" s="5"/>
      <c r="BC127" s="5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</row>
    <row r="128" spans="1:77" s="6" customFormat="1">
      <c r="A128" s="10"/>
      <c r="B128" s="35"/>
      <c r="C128" s="7"/>
      <c r="D128" s="7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5"/>
      <c r="BB128" s="5"/>
      <c r="BC128" s="5"/>
      <c r="BD128" s="3"/>
      <c r="BE128" s="3"/>
      <c r="BF128" s="3"/>
      <c r="BG128" s="3"/>
      <c r="BH128" s="3"/>
      <c r="BI128" s="3"/>
      <c r="BJ128" s="3"/>
      <c r="BK128" s="5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</row>
    <row r="129" spans="1:77" s="6" customFormat="1">
      <c r="A129" s="10"/>
      <c r="B129" s="35"/>
      <c r="C129" s="7"/>
      <c r="D129" s="7"/>
      <c r="E129" s="5"/>
      <c r="F129" s="5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5"/>
      <c r="BB129" s="5"/>
      <c r="BC129" s="5"/>
      <c r="BD129" s="3"/>
      <c r="BE129" s="5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</row>
    <row r="130" spans="1:77" s="6" customFormat="1">
      <c r="A130" s="10"/>
      <c r="B130" s="35"/>
      <c r="C130" s="7"/>
      <c r="D130" s="7"/>
      <c r="E130" s="5"/>
      <c r="F130" s="5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5"/>
      <c r="BB130" s="5"/>
      <c r="BC130" s="5"/>
      <c r="BD130" s="3"/>
      <c r="BE130" s="5"/>
      <c r="BF130" s="3"/>
      <c r="BG130" s="5"/>
      <c r="BH130" s="3"/>
      <c r="BI130" s="3"/>
      <c r="BJ130" s="5"/>
      <c r="BK130" s="5"/>
      <c r="BL130" s="5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</row>
    <row r="131" spans="1:77" s="6" customFormat="1">
      <c r="A131" s="10"/>
      <c r="B131" s="34"/>
      <c r="C131" s="7"/>
      <c r="D131" s="7"/>
      <c r="E131" s="5"/>
      <c r="F131" s="5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5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</row>
    <row r="132" spans="1:77" s="6" customFormat="1">
      <c r="A132" s="10"/>
      <c r="B132" s="34"/>
      <c r="C132" s="7"/>
      <c r="D132" s="7"/>
      <c r="E132" s="5"/>
      <c r="F132" s="5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5"/>
      <c r="BB132" s="5"/>
      <c r="BC132" s="5"/>
      <c r="BD132" s="3"/>
      <c r="BE132" s="5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</row>
    <row r="133" spans="1:77" s="6" customFormat="1">
      <c r="A133" s="10"/>
      <c r="B133" s="34"/>
      <c r="C133" s="7"/>
      <c r="D133" s="7"/>
      <c r="E133" s="5"/>
      <c r="F133" s="5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</row>
    <row r="134" spans="1:77" s="6" customFormat="1">
      <c r="A134" s="10"/>
      <c r="B134" s="34"/>
      <c r="C134" s="7"/>
      <c r="D134" s="11"/>
      <c r="E134" s="5"/>
      <c r="F134" s="5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5"/>
      <c r="BC134" s="5"/>
      <c r="BD134" s="3"/>
      <c r="BE134" s="5"/>
      <c r="BF134" s="3"/>
      <c r="BG134" s="5"/>
      <c r="BH134" s="3"/>
      <c r="BI134" s="3"/>
      <c r="BJ134" s="3"/>
      <c r="BK134" s="3"/>
      <c r="BL134" s="5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</row>
    <row r="135" spans="1:77" s="6" customFormat="1">
      <c r="A135" s="10"/>
      <c r="B135" s="34"/>
      <c r="C135" s="7"/>
      <c r="D135" s="11"/>
      <c r="E135" s="5"/>
      <c r="F135" s="5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5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</row>
    <row r="136" spans="1:77" s="6" customFormat="1">
      <c r="A136" s="10"/>
      <c r="B136" s="34"/>
      <c r="C136" s="7"/>
      <c r="D136" s="7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</row>
    <row r="137" spans="1:77" s="6" customFormat="1">
      <c r="A137" s="10"/>
      <c r="B137" s="34"/>
      <c r="C137" s="7"/>
      <c r="D137" s="7"/>
      <c r="E137" s="5"/>
      <c r="F137" s="5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5"/>
      <c r="BD137" s="3"/>
      <c r="BE137" s="5"/>
      <c r="BF137" s="3"/>
      <c r="BG137" s="5"/>
      <c r="BH137" s="3"/>
      <c r="BI137" s="3"/>
      <c r="BJ137" s="3"/>
      <c r="BK137" s="5"/>
      <c r="BL137" s="5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</row>
    <row r="138" spans="1:77" s="6" customFormat="1">
      <c r="A138" s="10"/>
      <c r="B138" s="34"/>
      <c r="C138" s="7"/>
      <c r="D138" s="11"/>
      <c r="E138" s="13"/>
      <c r="F138" s="1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5"/>
      <c r="BD138" s="3"/>
      <c r="BE138" s="5"/>
      <c r="BF138" s="3"/>
      <c r="BG138" s="5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</row>
    <row r="139" spans="1:77" s="6" customFormat="1">
      <c r="A139" s="10"/>
      <c r="B139" s="34"/>
      <c r="C139" s="7"/>
      <c r="D139" s="7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5"/>
      <c r="BD139" s="3"/>
      <c r="BE139" s="5"/>
      <c r="BF139" s="3"/>
      <c r="BG139" s="5"/>
      <c r="BH139" s="3"/>
      <c r="BI139" s="3"/>
      <c r="BJ139" s="3"/>
      <c r="BK139" s="5"/>
      <c r="BL139" s="5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</row>
    <row r="140" spans="1:77" s="6" customFormat="1">
      <c r="A140" s="10"/>
      <c r="B140" s="35"/>
      <c r="C140" s="7"/>
      <c r="D140" s="7"/>
      <c r="E140" s="13"/>
      <c r="F140" s="1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5"/>
      <c r="BD140" s="3"/>
      <c r="BE140" s="5"/>
      <c r="BF140" s="3"/>
      <c r="BG140" s="5"/>
      <c r="BH140" s="3"/>
      <c r="BI140" s="3"/>
      <c r="BJ140" s="3"/>
      <c r="BK140" s="5"/>
      <c r="BL140" s="5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</row>
    <row r="141" spans="1:77" s="6" customFormat="1">
      <c r="A141" s="10"/>
      <c r="B141" s="34"/>
      <c r="C141" s="7"/>
      <c r="D141" s="7"/>
      <c r="E141" s="5"/>
      <c r="F141" s="5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5"/>
      <c r="BD141" s="3"/>
      <c r="BE141" s="5"/>
      <c r="BF141" s="3"/>
      <c r="BG141" s="5"/>
      <c r="BH141" s="3"/>
      <c r="BI141" s="3"/>
      <c r="BJ141" s="3"/>
      <c r="BK141" s="5"/>
      <c r="BL141" s="5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</row>
    <row r="142" spans="1:77" s="6" customFormat="1">
      <c r="A142" s="10"/>
      <c r="B142" s="34"/>
      <c r="C142" s="7"/>
      <c r="D142" s="7"/>
      <c r="E142" s="5"/>
      <c r="F142" s="5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5"/>
      <c r="BD142" s="3"/>
      <c r="BE142" s="5"/>
      <c r="BF142" s="3"/>
      <c r="BG142" s="5"/>
      <c r="BH142" s="3"/>
      <c r="BI142" s="3"/>
      <c r="BJ142" s="3"/>
      <c r="BK142" s="5"/>
      <c r="BL142" s="5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</row>
    <row r="143" spans="1:77" s="6" customFormat="1">
      <c r="A143" s="10"/>
      <c r="B143" s="34"/>
      <c r="C143" s="7"/>
      <c r="D143" s="7"/>
      <c r="E143" s="5"/>
      <c r="F143" s="5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5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</row>
    <row r="144" spans="1:77" s="6" customFormat="1">
      <c r="A144" s="10"/>
      <c r="B144" s="34"/>
      <c r="C144" s="7"/>
      <c r="D144" s="7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5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</row>
    <row r="145" spans="1:77" s="6" customFormat="1">
      <c r="A145" s="10"/>
      <c r="B145" s="34"/>
      <c r="C145" s="7"/>
      <c r="D145" s="7"/>
      <c r="E145" s="5"/>
      <c r="F145" s="5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5"/>
      <c r="BF145" s="3"/>
      <c r="BG145" s="5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</row>
    <row r="146" spans="1:77" s="6" customFormat="1">
      <c r="A146" s="10"/>
      <c r="B146" s="34"/>
      <c r="C146" s="7"/>
      <c r="D146" s="7"/>
      <c r="E146" s="5"/>
      <c r="F146" s="5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5"/>
      <c r="BF146" s="3"/>
      <c r="BG146" s="5"/>
      <c r="BH146" s="3"/>
      <c r="BI146" s="3"/>
      <c r="BJ146" s="3"/>
      <c r="BK146" s="5"/>
      <c r="BL146" s="5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</row>
    <row r="147" spans="1:77" s="6" customFormat="1">
      <c r="A147" s="10"/>
      <c r="B147" s="34"/>
      <c r="C147" s="7"/>
      <c r="D147" s="11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</row>
    <row r="148" spans="1:77" s="6" customFormat="1">
      <c r="A148" s="10"/>
      <c r="B148" s="35"/>
      <c r="D148" s="7"/>
      <c r="E148" s="5"/>
      <c r="F148" s="5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5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</row>
    <row r="149" spans="1:77" s="6" customFormat="1">
      <c r="A149" s="10"/>
      <c r="B149" s="34"/>
      <c r="C149" s="7"/>
      <c r="D149" s="7"/>
      <c r="E149" s="5"/>
      <c r="F149" s="5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</row>
    <row r="150" spans="1:77" s="6" customFormat="1">
      <c r="A150" s="10"/>
      <c r="B150" s="34"/>
      <c r="C150" s="7"/>
      <c r="D150" s="7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</row>
    <row r="151" spans="1:77" s="6" customFormat="1">
      <c r="A151" s="10"/>
      <c r="B151" s="34"/>
      <c r="C151" s="7"/>
      <c r="D151" s="7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</row>
    <row r="152" spans="1:77" s="6" customFormat="1">
      <c r="A152" s="10"/>
      <c r="B152" s="34"/>
      <c r="C152" s="7"/>
      <c r="D152" s="7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5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</row>
    <row r="153" spans="1:77" s="6" customFormat="1">
      <c r="A153" s="10"/>
      <c r="B153" s="34"/>
      <c r="D153" s="7"/>
      <c r="E153" s="5"/>
      <c r="F153" s="5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5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</row>
    <row r="154" spans="1:77" s="6" customFormat="1">
      <c r="A154" s="10"/>
      <c r="B154" s="34"/>
      <c r="C154" s="7"/>
      <c r="D154" s="11"/>
      <c r="E154" s="5"/>
      <c r="F154" s="5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5"/>
      <c r="BL154" s="5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</row>
    <row r="155" spans="1:77" s="6" customFormat="1">
      <c r="A155" s="10"/>
      <c r="B155" s="34"/>
      <c r="C155" s="7"/>
      <c r="D155" s="7"/>
      <c r="E155" s="5"/>
      <c r="F155" s="5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</row>
    <row r="156" spans="1:77" s="18" customFormat="1">
      <c r="A156" s="28"/>
      <c r="B156" s="39"/>
      <c r="C156" s="19"/>
      <c r="D156" s="19"/>
      <c r="E156" s="32"/>
      <c r="F156" s="32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  <c r="BS156" s="31"/>
      <c r="BT156" s="31"/>
      <c r="BU156" s="31"/>
      <c r="BV156" s="31"/>
      <c r="BW156" s="31"/>
      <c r="BX156" s="31"/>
      <c r="BY156" s="31"/>
    </row>
    <row r="157" spans="1:77" s="18" customFormat="1">
      <c r="A157" s="28"/>
      <c r="B157" s="39"/>
      <c r="C157" s="19"/>
      <c r="D157" s="19"/>
      <c r="E157" s="32"/>
      <c r="F157" s="32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  <c r="BS157" s="31"/>
      <c r="BT157" s="31"/>
      <c r="BU157" s="31"/>
      <c r="BV157" s="31"/>
      <c r="BW157" s="31"/>
      <c r="BX157" s="31"/>
      <c r="BY157" s="31"/>
    </row>
    <row r="158" spans="1:77" s="18" customFormat="1">
      <c r="A158" s="28"/>
      <c r="B158" s="39"/>
      <c r="C158" s="19"/>
      <c r="D158" s="19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  <c r="BS158" s="31"/>
      <c r="BT158" s="31"/>
      <c r="BU158" s="31"/>
      <c r="BV158" s="31"/>
      <c r="BW158" s="31"/>
      <c r="BX158" s="31"/>
      <c r="BY158" s="31"/>
    </row>
    <row r="159" spans="1:77" s="18" customFormat="1">
      <c r="A159" s="28"/>
      <c r="B159" s="39"/>
      <c r="C159" s="19"/>
      <c r="D159" s="19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  <c r="BS159" s="31"/>
      <c r="BT159" s="31"/>
      <c r="BU159" s="31"/>
      <c r="BV159" s="31"/>
      <c r="BW159" s="31"/>
      <c r="BX159" s="31"/>
      <c r="BY159" s="31"/>
    </row>
    <row r="160" spans="1:77" s="18" customFormat="1">
      <c r="A160" s="28"/>
      <c r="B160" s="39"/>
      <c r="D160" s="19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  <c r="BS160" s="31"/>
      <c r="BT160" s="31"/>
      <c r="BU160" s="31"/>
      <c r="BV160" s="31"/>
      <c r="BW160" s="31"/>
      <c r="BX160" s="31"/>
      <c r="BY160" s="31"/>
    </row>
    <row r="161" spans="1:112" s="18" customFormat="1">
      <c r="A161" s="28"/>
      <c r="B161" s="39"/>
      <c r="D161" s="19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  <c r="BS161" s="31"/>
      <c r="BT161" s="31"/>
      <c r="BU161" s="31"/>
      <c r="BV161" s="31"/>
      <c r="BW161" s="31"/>
      <c r="BX161" s="31"/>
      <c r="BY161" s="31"/>
    </row>
    <row r="162" spans="1:112" s="18" customFormat="1">
      <c r="A162" s="28"/>
      <c r="B162" s="39"/>
      <c r="D162" s="19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  <c r="BS162" s="31"/>
      <c r="BT162" s="31"/>
      <c r="BU162" s="31"/>
      <c r="BV162" s="31"/>
      <c r="BW162" s="31"/>
      <c r="BX162" s="31"/>
      <c r="BY162" s="31"/>
    </row>
    <row r="163" spans="1:112" s="18" customFormat="1">
      <c r="A163" s="21"/>
      <c r="B163" s="40"/>
      <c r="D163" s="19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/>
      <c r="BJ163" s="33"/>
      <c r="BK163" s="33"/>
      <c r="BL163" s="33"/>
      <c r="BM163" s="33"/>
      <c r="BN163" s="33"/>
      <c r="BO163" s="33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</row>
    <row r="164" spans="1:112" s="18" customFormat="1">
      <c r="A164" s="28"/>
      <c r="B164" s="39"/>
      <c r="D164" s="19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  <c r="BS164" s="31"/>
      <c r="BT164" s="31"/>
      <c r="BU164" s="31"/>
      <c r="BV164" s="31"/>
      <c r="BW164" s="31"/>
      <c r="BX164" s="31"/>
      <c r="BY164" s="31"/>
    </row>
    <row r="165" spans="1:112" s="18" customFormat="1">
      <c r="A165" s="28"/>
      <c r="B165" s="39"/>
      <c r="D165" s="19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  <c r="BS165" s="31"/>
      <c r="BT165" s="31"/>
      <c r="BU165" s="31"/>
      <c r="BV165" s="31"/>
      <c r="BW165" s="31"/>
      <c r="BX165" s="31"/>
      <c r="BY165" s="31"/>
    </row>
    <row r="166" spans="1:112" s="18" customFormat="1">
      <c r="A166" s="28"/>
      <c r="B166" s="39"/>
      <c r="D166" s="19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  <c r="BS166" s="31"/>
      <c r="BT166" s="31"/>
      <c r="BU166" s="31"/>
      <c r="BV166" s="31"/>
      <c r="BW166" s="31"/>
      <c r="BX166" s="31"/>
      <c r="BY166" s="31"/>
    </row>
    <row r="167" spans="1:112" s="18" customFormat="1">
      <c r="A167" s="28"/>
      <c r="B167" s="39"/>
      <c r="D167" s="19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  <c r="BS167" s="31"/>
      <c r="BT167" s="31"/>
      <c r="BU167" s="31"/>
      <c r="BV167" s="31"/>
      <c r="BW167" s="31"/>
      <c r="BX167" s="31"/>
      <c r="BY167" s="31"/>
    </row>
    <row r="168" spans="1:112" s="18" customFormat="1">
      <c r="A168" s="28"/>
      <c r="B168" s="39"/>
      <c r="D168" s="19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  <c r="BS168" s="31"/>
      <c r="BT168" s="31"/>
      <c r="BU168" s="31"/>
      <c r="BV168" s="31"/>
      <c r="BW168" s="31"/>
      <c r="BX168" s="31"/>
      <c r="BY168" s="31"/>
    </row>
    <row r="169" spans="1:112" s="18" customFormat="1">
      <c r="A169" s="28"/>
      <c r="B169" s="39"/>
      <c r="D169" s="19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  <c r="BS169" s="31"/>
      <c r="BT169" s="31"/>
      <c r="BU169" s="31"/>
      <c r="BV169" s="31"/>
      <c r="BW169" s="31"/>
      <c r="BX169" s="31"/>
      <c r="BY169" s="31"/>
    </row>
    <row r="170" spans="1:112" s="18" customFormat="1">
      <c r="A170" s="28"/>
      <c r="B170" s="39"/>
      <c r="D170" s="19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  <c r="BS170" s="31"/>
      <c r="BT170" s="31"/>
      <c r="BU170" s="31"/>
      <c r="BV170" s="31"/>
      <c r="BW170" s="31"/>
      <c r="BX170" s="31"/>
      <c r="BY170" s="31"/>
    </row>
    <row r="171" spans="1:112" s="18" customFormat="1">
      <c r="A171" s="28"/>
      <c r="B171" s="39"/>
      <c r="D171" s="19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  <c r="BS171" s="31"/>
      <c r="BT171" s="31"/>
      <c r="BU171" s="31"/>
      <c r="BV171" s="31"/>
      <c r="BW171" s="31"/>
      <c r="BX171" s="31"/>
      <c r="BY171" s="31"/>
    </row>
    <row r="172" spans="1:112" s="18" customFormat="1">
      <c r="A172" s="28"/>
      <c r="B172" s="39"/>
      <c r="D172" s="19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  <c r="BS172" s="31"/>
      <c r="BT172" s="31"/>
      <c r="BU172" s="31"/>
      <c r="BV172" s="31"/>
      <c r="BW172" s="31"/>
      <c r="BX172" s="31"/>
      <c r="BY172" s="31"/>
    </row>
    <row r="173" spans="1:112" s="6" customFormat="1">
      <c r="A173" s="10"/>
      <c r="B173" s="34"/>
      <c r="D173" s="7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</row>
    <row r="174" spans="1:112" s="6" customFormat="1">
      <c r="A174" s="10"/>
      <c r="B174" s="34"/>
      <c r="D174" s="7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</row>
    <row r="175" spans="1:112" s="6" customFormat="1">
      <c r="A175" s="10"/>
      <c r="B175" s="34"/>
      <c r="D175" s="7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</row>
    <row r="176" spans="1:112" s="6" customFormat="1">
      <c r="A176" s="10"/>
      <c r="B176" s="34"/>
      <c r="D176" s="7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</row>
    <row r="177" spans="1:77" s="6" customFormat="1">
      <c r="A177" s="10"/>
      <c r="B177" s="34"/>
      <c r="D177" s="7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</row>
    <row r="178" spans="1:77" s="6" customFormat="1">
      <c r="A178" s="10"/>
      <c r="B178" s="34"/>
      <c r="D178" s="7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</row>
    <row r="179" spans="1:77" s="6" customFormat="1">
      <c r="A179" s="10"/>
      <c r="B179" s="34"/>
      <c r="D179" s="7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</row>
    <row r="180" spans="1:77" s="6" customFormat="1">
      <c r="A180" s="10"/>
      <c r="B180" s="34"/>
      <c r="D180" s="7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</row>
    <row r="181" spans="1:77" s="6" customFormat="1">
      <c r="A181" s="10"/>
      <c r="B181" s="34"/>
      <c r="D181" s="7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</row>
    <row r="182" spans="1:77" s="6" customFormat="1">
      <c r="A182" s="10"/>
      <c r="B182" s="34"/>
      <c r="D182" s="7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</row>
    <row r="183" spans="1:77" s="6" customFormat="1">
      <c r="A183" s="10"/>
      <c r="B183" s="34"/>
      <c r="D183" s="7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</row>
    <row r="184" spans="1:77" s="6" customFormat="1">
      <c r="A184" s="10"/>
      <c r="B184" s="34"/>
      <c r="D184" s="7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</row>
    <row r="185" spans="1:77" s="6" customFormat="1">
      <c r="A185" s="10"/>
      <c r="B185" s="34"/>
      <c r="D185" s="7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</row>
    <row r="186" spans="1:77" s="6" customFormat="1">
      <c r="A186" s="10"/>
      <c r="B186" s="34"/>
      <c r="D186" s="7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</row>
    <row r="187" spans="1:77" s="6" customFormat="1">
      <c r="A187" s="10"/>
      <c r="B187" s="34"/>
      <c r="D187" s="7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</row>
    <row r="188" spans="1:77" s="6" customFormat="1">
      <c r="A188" s="10"/>
      <c r="B188" s="34"/>
      <c r="D188" s="7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</row>
    <row r="189" spans="1:77" s="6" customFormat="1">
      <c r="A189" s="10"/>
      <c r="B189" s="34"/>
      <c r="D189" s="7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</row>
    <row r="190" spans="1:77" s="6" customFormat="1">
      <c r="A190" s="10"/>
      <c r="B190" s="34"/>
      <c r="D190" s="7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</row>
    <row r="191" spans="1:77" s="6" customFormat="1">
      <c r="A191" s="10"/>
      <c r="B191" s="34"/>
      <c r="D191" s="7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</row>
    <row r="192" spans="1:77" s="6" customFormat="1">
      <c r="A192" s="10"/>
      <c r="B192" s="34"/>
      <c r="D192" s="7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</row>
    <row r="193" spans="1:77" s="6" customFormat="1">
      <c r="A193" s="10"/>
      <c r="B193" s="34"/>
      <c r="D193" s="7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</row>
    <row r="194" spans="1:77" s="6" customFormat="1">
      <c r="A194" s="10"/>
      <c r="B194" s="34"/>
      <c r="D194" s="7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</row>
    <row r="195" spans="1:77" s="6" customFormat="1">
      <c r="A195" s="10"/>
      <c r="B195" s="34"/>
      <c r="D195" s="7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</row>
    <row r="196" spans="1:77" s="6" customFormat="1">
      <c r="A196" s="10"/>
      <c r="B196" s="34"/>
      <c r="D196" s="7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</row>
    <row r="197" spans="1:77" s="6" customFormat="1">
      <c r="A197" s="10"/>
      <c r="B197" s="34"/>
      <c r="D197" s="7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</row>
    <row r="198" spans="1:77" s="6" customFormat="1">
      <c r="A198" s="10"/>
      <c r="B198" s="34"/>
      <c r="D198" s="7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</row>
    <row r="199" spans="1:77" s="6" customFormat="1">
      <c r="A199" s="10"/>
      <c r="B199" s="34"/>
      <c r="D199" s="7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</row>
    <row r="200" spans="1:77" s="6" customFormat="1">
      <c r="A200" s="10"/>
      <c r="B200" s="34"/>
      <c r="D200" s="7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</row>
    <row r="201" spans="1:77" s="6" customFormat="1">
      <c r="A201" s="10"/>
      <c r="B201" s="34"/>
      <c r="D201" s="7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</row>
    <row r="202" spans="1:77" s="6" customFormat="1">
      <c r="A202" s="10"/>
      <c r="B202" s="34"/>
      <c r="D202" s="7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</row>
    <row r="203" spans="1:77" s="6" customFormat="1">
      <c r="A203" s="10"/>
      <c r="B203" s="34"/>
      <c r="D203" s="7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</row>
    <row r="204" spans="1:77" s="6" customFormat="1">
      <c r="A204" s="10"/>
      <c r="B204" s="34"/>
      <c r="D204" s="7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</row>
    <row r="205" spans="1:77" s="6" customFormat="1">
      <c r="A205" s="10"/>
      <c r="B205" s="34"/>
      <c r="D205" s="7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</row>
    <row r="206" spans="1:77" s="6" customFormat="1">
      <c r="A206" s="10"/>
      <c r="B206" s="34"/>
      <c r="D206" s="7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</row>
    <row r="207" spans="1:77" s="6" customFormat="1">
      <c r="A207" s="10"/>
      <c r="B207" s="34"/>
      <c r="D207" s="7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</row>
    <row r="208" spans="1:77" s="6" customFormat="1">
      <c r="A208" s="10"/>
      <c r="B208" s="34"/>
      <c r="D208" s="7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</row>
    <row r="209" spans="1:77" s="6" customFormat="1">
      <c r="A209" s="10"/>
      <c r="B209" s="34"/>
      <c r="D209" s="7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</row>
    <row r="210" spans="1:77" s="6" customFormat="1">
      <c r="A210" s="10"/>
      <c r="B210" s="34"/>
      <c r="D210" s="7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</row>
    <row r="211" spans="1:77" s="6" customFormat="1">
      <c r="A211" s="10"/>
      <c r="B211" s="34"/>
      <c r="D211" s="7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</row>
    <row r="212" spans="1:77" s="6" customFormat="1">
      <c r="A212" s="10"/>
      <c r="B212" s="34"/>
      <c r="D212" s="7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</row>
    <row r="213" spans="1:77" s="6" customFormat="1">
      <c r="A213" s="10"/>
      <c r="B213" s="34"/>
      <c r="D213" s="7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</row>
    <row r="214" spans="1:77" s="6" customFormat="1">
      <c r="A214" s="10"/>
      <c r="B214" s="34"/>
      <c r="D214" s="7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</row>
    <row r="215" spans="1:77" s="6" customFormat="1">
      <c r="A215" s="10"/>
      <c r="B215" s="34"/>
      <c r="D215" s="7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</row>
    <row r="216" spans="1:77" s="6" customFormat="1">
      <c r="A216" s="10"/>
      <c r="B216" s="34"/>
      <c r="D216" s="7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</row>
    <row r="217" spans="1:77" s="6" customFormat="1">
      <c r="A217" s="10"/>
      <c r="B217" s="34"/>
      <c r="D217" s="7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</row>
    <row r="218" spans="1:77" s="6" customFormat="1">
      <c r="A218" s="10"/>
      <c r="B218" s="34"/>
      <c r="D218" s="7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</row>
    <row r="219" spans="1:77" s="6" customFormat="1">
      <c r="A219" s="10"/>
      <c r="B219" s="34"/>
      <c r="D219" s="7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</row>
    <row r="220" spans="1:77" s="6" customFormat="1">
      <c r="A220" s="10"/>
      <c r="B220" s="34"/>
      <c r="D220" s="7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</row>
    <row r="221" spans="1:77" s="6" customFormat="1">
      <c r="A221" s="10"/>
      <c r="B221" s="34"/>
      <c r="D221" s="7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</row>
    <row r="222" spans="1:77" s="6" customFormat="1">
      <c r="A222" s="10"/>
      <c r="B222" s="34"/>
      <c r="D222" s="7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</row>
    <row r="223" spans="1:77" s="6" customFormat="1">
      <c r="A223" s="10"/>
      <c r="B223" s="34"/>
      <c r="D223" s="7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</row>
    <row r="224" spans="1:77" s="6" customFormat="1">
      <c r="A224" s="10"/>
      <c r="B224" s="34"/>
      <c r="D224" s="7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</row>
    <row r="225" spans="1:77" s="6" customFormat="1">
      <c r="A225" s="10"/>
      <c r="B225" s="34"/>
      <c r="D225" s="7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</row>
    <row r="226" spans="1:77" s="6" customFormat="1">
      <c r="A226" s="10"/>
      <c r="B226" s="34"/>
      <c r="D226" s="7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</row>
    <row r="227" spans="1:77" s="6" customFormat="1">
      <c r="A227" s="10"/>
      <c r="B227" s="34"/>
      <c r="D227" s="7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</row>
    <row r="228" spans="1:77" s="6" customFormat="1">
      <c r="A228" s="10"/>
      <c r="B228" s="34"/>
      <c r="D228" s="7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</row>
    <row r="229" spans="1:77" s="6" customFormat="1">
      <c r="A229" s="10"/>
      <c r="B229" s="34"/>
      <c r="D229" s="7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</row>
    <row r="230" spans="1:77" s="6" customFormat="1">
      <c r="A230" s="10"/>
      <c r="B230" s="34"/>
      <c r="D230" s="7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</row>
    <row r="231" spans="1:77" s="6" customFormat="1">
      <c r="A231" s="10"/>
      <c r="B231" s="34"/>
      <c r="D231" s="7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</row>
    <row r="232" spans="1:77" s="6" customFormat="1">
      <c r="A232" s="10"/>
      <c r="B232" s="34"/>
      <c r="D232" s="7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</row>
    <row r="233" spans="1:77" s="6" customFormat="1">
      <c r="A233" s="10"/>
      <c r="B233" s="34"/>
      <c r="D233" s="7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</row>
    <row r="234" spans="1:77" s="6" customFormat="1">
      <c r="A234" s="10"/>
      <c r="B234" s="34"/>
      <c r="D234" s="7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</row>
    <row r="235" spans="1:77" s="6" customFormat="1">
      <c r="A235" s="10"/>
      <c r="B235" s="34"/>
      <c r="D235" s="7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</row>
    <row r="236" spans="1:77" s="6" customFormat="1">
      <c r="A236" s="10"/>
      <c r="B236" s="34"/>
      <c r="D236" s="7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</row>
    <row r="237" spans="1:77" s="6" customFormat="1">
      <c r="A237" s="10"/>
      <c r="B237" s="34"/>
      <c r="D237" s="7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</row>
    <row r="238" spans="1:77" s="6" customFormat="1">
      <c r="A238" s="10"/>
      <c r="B238" s="34"/>
      <c r="D238" s="7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</row>
    <row r="239" spans="1:77" s="6" customFormat="1">
      <c r="A239" s="10"/>
      <c r="B239" s="34"/>
      <c r="D239" s="7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</row>
    <row r="240" spans="1:77" s="6" customFormat="1">
      <c r="A240" s="10"/>
      <c r="B240" s="34"/>
      <c r="D240" s="7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</row>
    <row r="241" spans="1:77" s="6" customFormat="1">
      <c r="A241" s="10"/>
      <c r="B241" s="34"/>
      <c r="D241" s="7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</row>
    <row r="242" spans="1:77" s="6" customFormat="1">
      <c r="A242" s="10"/>
      <c r="B242" s="34"/>
      <c r="D242" s="7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</row>
    <row r="243" spans="1:77" s="6" customFormat="1">
      <c r="A243" s="10"/>
      <c r="B243" s="34"/>
      <c r="D243" s="7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</row>
    <row r="244" spans="1:77" s="6" customFormat="1">
      <c r="A244" s="10"/>
      <c r="B244" s="34"/>
      <c r="D244" s="7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</row>
    <row r="245" spans="1:77" s="6" customFormat="1">
      <c r="A245" s="10"/>
      <c r="B245" s="34"/>
      <c r="D245" s="7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</row>
    <row r="246" spans="1:77" s="6" customFormat="1">
      <c r="A246" s="10"/>
      <c r="B246" s="34"/>
      <c r="D246" s="7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</row>
    <row r="247" spans="1:77" s="6" customFormat="1">
      <c r="A247" s="10"/>
      <c r="B247" s="34"/>
      <c r="D247" s="7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</row>
    <row r="248" spans="1:77" s="6" customFormat="1">
      <c r="A248" s="10"/>
      <c r="B248" s="34"/>
      <c r="D248" s="7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</row>
    <row r="249" spans="1:77" s="6" customFormat="1">
      <c r="A249" s="10"/>
      <c r="B249" s="34"/>
      <c r="D249" s="7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</row>
    <row r="250" spans="1:77" s="6" customFormat="1">
      <c r="A250" s="10"/>
      <c r="B250" s="34"/>
      <c r="D250" s="7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</row>
    <row r="251" spans="1:77" s="6" customFormat="1">
      <c r="A251" s="10"/>
      <c r="B251" s="34"/>
      <c r="D251" s="7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</row>
    <row r="252" spans="1:77" s="6" customFormat="1">
      <c r="A252" s="10"/>
      <c r="B252" s="34"/>
      <c r="D252" s="7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</row>
    <row r="253" spans="1:77" s="6" customFormat="1">
      <c r="A253" s="10"/>
      <c r="B253" s="34"/>
      <c r="D253" s="7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</row>
    <row r="254" spans="1:77" s="6" customFormat="1">
      <c r="A254" s="10"/>
      <c r="B254" s="34"/>
      <c r="D254" s="7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</row>
    <row r="255" spans="1:77" s="6" customFormat="1">
      <c r="A255" s="10"/>
      <c r="B255" s="34"/>
      <c r="D255" s="7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</row>
    <row r="256" spans="1:77" s="6" customFormat="1">
      <c r="A256" s="10"/>
      <c r="B256" s="34"/>
      <c r="D256" s="7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</row>
    <row r="257" spans="1:77" s="6" customFormat="1">
      <c r="A257" s="10"/>
      <c r="B257" s="34"/>
      <c r="D257" s="7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</row>
    <row r="258" spans="1:77" s="6" customFormat="1">
      <c r="A258" s="10"/>
      <c r="B258" s="34"/>
      <c r="D258" s="7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</row>
    <row r="259" spans="1:77" s="6" customFormat="1">
      <c r="A259" s="10"/>
      <c r="B259" s="34"/>
      <c r="D259" s="7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</row>
    <row r="260" spans="1:77" s="6" customFormat="1">
      <c r="A260" s="10"/>
      <c r="B260" s="34"/>
      <c r="D260" s="7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</row>
    <row r="261" spans="1:77" s="6" customFormat="1">
      <c r="A261" s="10"/>
      <c r="B261" s="34"/>
      <c r="D261" s="7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</row>
    <row r="262" spans="1:77" s="6" customFormat="1">
      <c r="A262" s="10"/>
      <c r="B262" s="34"/>
      <c r="D262" s="7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</row>
    <row r="263" spans="1:77" s="6" customFormat="1">
      <c r="A263" s="10"/>
      <c r="B263" s="34"/>
      <c r="D263" s="7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</row>
    <row r="264" spans="1:77" s="6" customFormat="1">
      <c r="A264" s="10"/>
      <c r="B264" s="34"/>
      <c r="D264" s="7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</row>
    <row r="265" spans="1:77" s="6" customFormat="1">
      <c r="A265" s="10"/>
      <c r="B265" s="34"/>
      <c r="D265" s="7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</row>
    <row r="266" spans="1:77" s="6" customFormat="1">
      <c r="A266" s="10"/>
      <c r="B266" s="34"/>
      <c r="D266" s="7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</row>
    <row r="267" spans="1:77" s="6" customFormat="1">
      <c r="A267" s="10"/>
      <c r="B267" s="34"/>
      <c r="D267" s="7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</row>
    <row r="268" spans="1:77" s="6" customFormat="1">
      <c r="A268" s="10"/>
      <c r="B268" s="34"/>
      <c r="D268" s="7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</row>
    <row r="269" spans="1:77" s="6" customFormat="1">
      <c r="A269" s="10"/>
      <c r="B269" s="34"/>
      <c r="D269" s="7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</row>
    <row r="270" spans="1:77" s="6" customFormat="1">
      <c r="A270" s="10"/>
      <c r="B270" s="34"/>
      <c r="D270" s="7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</row>
    <row r="271" spans="1:77" s="6" customFormat="1">
      <c r="A271" s="10"/>
      <c r="B271" s="34"/>
      <c r="D271" s="7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</row>
    <row r="272" spans="1:77" s="6" customFormat="1">
      <c r="A272" s="10"/>
      <c r="B272" s="34"/>
      <c r="D272" s="7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</row>
    <row r="273" spans="1:77" s="6" customFormat="1">
      <c r="A273" s="10"/>
      <c r="B273" s="34"/>
      <c r="D273" s="7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</row>
    <row r="274" spans="1:77" s="6" customFormat="1">
      <c r="A274" s="10"/>
      <c r="B274" s="34"/>
      <c r="D274" s="7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</row>
    <row r="275" spans="1:77" s="6" customFormat="1">
      <c r="A275" s="10"/>
      <c r="B275" s="34"/>
      <c r="D275" s="7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</row>
    <row r="276" spans="1:77" s="6" customFormat="1">
      <c r="A276" s="10"/>
      <c r="B276" s="34"/>
      <c r="D276" s="7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</row>
    <row r="277" spans="1:77" s="6" customFormat="1">
      <c r="A277" s="10"/>
      <c r="B277" s="34"/>
      <c r="D277" s="7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</row>
    <row r="278" spans="1:77" s="6" customFormat="1">
      <c r="A278" s="10"/>
      <c r="B278" s="34"/>
      <c r="D278" s="7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</row>
    <row r="279" spans="1:77" s="6" customFormat="1">
      <c r="A279" s="10"/>
      <c r="B279" s="34"/>
      <c r="D279" s="7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</row>
    <row r="280" spans="1:77" s="6" customFormat="1">
      <c r="A280" s="10"/>
      <c r="B280" s="34"/>
      <c r="D280" s="7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</row>
    <row r="281" spans="1:77" s="6" customFormat="1">
      <c r="A281" s="10"/>
      <c r="B281" s="34"/>
      <c r="D281" s="7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</row>
    <row r="282" spans="1:77" s="6" customFormat="1">
      <c r="A282" s="10"/>
      <c r="B282" s="34"/>
      <c r="D282" s="7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</row>
    <row r="283" spans="1:77" s="6" customFormat="1">
      <c r="A283" s="10"/>
      <c r="B283" s="34"/>
      <c r="D283" s="7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</row>
    <row r="284" spans="1:77" s="6" customFormat="1">
      <c r="A284" s="10"/>
      <c r="B284" s="34"/>
      <c r="D284" s="7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</row>
    <row r="295" spans="1:102" ht="13" thickBot="1"/>
    <row r="296" spans="1:102" s="2" customFormat="1" ht="13" thickTop="1">
      <c r="A296" s="10"/>
      <c r="B296" s="34"/>
      <c r="C296"/>
      <c r="D296" s="9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/>
      <c r="CA296"/>
      <c r="CB296"/>
      <c r="CC296"/>
      <c r="CD296"/>
      <c r="CE296"/>
      <c r="CF296"/>
      <c r="CG296" s="2">
        <f t="shared" ref="CG296:CX296" si="2">COUNTA(CG3:CG295)-COUNTIF(CG3:CG295,"intertidal")</f>
        <v>0</v>
      </c>
      <c r="CH296" s="2">
        <f t="shared" si="2"/>
        <v>0</v>
      </c>
      <c r="CI296" s="2">
        <f t="shared" si="2"/>
        <v>0</v>
      </c>
      <c r="CJ296" s="2">
        <f t="shared" si="2"/>
        <v>0</v>
      </c>
      <c r="CK296" s="2">
        <f t="shared" si="2"/>
        <v>0</v>
      </c>
      <c r="CL296" s="2">
        <f t="shared" si="2"/>
        <v>0</v>
      </c>
      <c r="CM296" s="2">
        <f t="shared" si="2"/>
        <v>0</v>
      </c>
      <c r="CN296" s="2">
        <f t="shared" si="2"/>
        <v>0</v>
      </c>
      <c r="CO296" s="2">
        <f t="shared" si="2"/>
        <v>0</v>
      </c>
      <c r="CP296" s="2">
        <f t="shared" si="2"/>
        <v>0</v>
      </c>
      <c r="CQ296" s="2">
        <f t="shared" si="2"/>
        <v>0</v>
      </c>
      <c r="CR296" s="2">
        <f t="shared" si="2"/>
        <v>0</v>
      </c>
      <c r="CS296" s="2">
        <f t="shared" si="2"/>
        <v>0</v>
      </c>
      <c r="CT296" s="2">
        <f t="shared" si="2"/>
        <v>0</v>
      </c>
      <c r="CU296" s="2">
        <f t="shared" si="2"/>
        <v>0</v>
      </c>
      <c r="CV296" s="2">
        <f t="shared" si="2"/>
        <v>0</v>
      </c>
      <c r="CW296" s="2">
        <f t="shared" si="2"/>
        <v>0</v>
      </c>
      <c r="CX296" s="2">
        <f t="shared" si="2"/>
        <v>0</v>
      </c>
    </row>
  </sheetData>
  <sortState ref="A3:BP81">
    <sortCondition ref="D3"/>
  </sortState>
  <mergeCells count="1">
    <mergeCell ref="D1:F1"/>
  </mergeCells>
  <phoneticPr fontId="9" type="noConversion"/>
  <conditionalFormatting sqref="D3:D37 D39:D41 D43:D70 D73:D74">
    <cfRule type="duplicateValues" dxfId="12" priority="14"/>
  </conditionalFormatting>
  <conditionalFormatting sqref="D3:D37 D39:D41 D43:D70 D73:D74">
    <cfRule type="duplicateValues" dxfId="11" priority="16"/>
  </conditionalFormatting>
  <conditionalFormatting sqref="D71">
    <cfRule type="duplicateValues" dxfId="10" priority="4"/>
  </conditionalFormatting>
  <conditionalFormatting sqref="D71">
    <cfRule type="duplicateValues" dxfId="9" priority="3"/>
  </conditionalFormatting>
  <conditionalFormatting sqref="D72">
    <cfRule type="duplicateValues" dxfId="8" priority="2"/>
  </conditionalFormatting>
  <conditionalFormatting sqref="D72">
    <cfRule type="duplicateValues" dxfId="7" priority="1"/>
  </conditionalFormatting>
  <pageMargins left="0.71" right="0.71" top="0.75000000000000011" bottom="0.75000000000000011" header="0.31" footer="0.31"/>
  <extLst>
    <ext xmlns:mx="http://schemas.microsoft.com/office/mac/excel/2008/main" uri="{64002731-A6B0-56B0-2670-7721B7C09600}">
      <mx:PLV Mode="0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5"/>
  <sheetViews>
    <sheetView tabSelected="1" workbookViewId="0">
      <selection activeCell="C9" sqref="C9"/>
    </sheetView>
  </sheetViews>
  <sheetFormatPr baseColWidth="10" defaultColWidth="8.83203125" defaultRowHeight="12" x14ac:dyDescent="0"/>
  <cols>
    <col min="1" max="1" width="25.5" customWidth="1"/>
    <col min="2" max="2" width="14" customWidth="1"/>
    <col min="3" max="3" width="78.1640625" customWidth="1"/>
  </cols>
  <sheetData>
    <row r="1" spans="1:6">
      <c r="A1" s="11" t="s">
        <v>3</v>
      </c>
      <c r="B1" s="11" t="s">
        <v>2</v>
      </c>
      <c r="C1" s="11" t="s">
        <v>6</v>
      </c>
      <c r="D1" s="12" t="s">
        <v>0</v>
      </c>
      <c r="E1" s="13" t="s">
        <v>1</v>
      </c>
    </row>
    <row r="2" spans="1:6">
      <c r="A2" s="7"/>
      <c r="B2" s="7"/>
      <c r="C2" s="7" t="s">
        <v>18</v>
      </c>
      <c r="D2" s="5"/>
      <c r="E2" s="5"/>
      <c r="F2" s="6"/>
    </row>
    <row r="3" spans="1:6">
      <c r="A3" s="7"/>
      <c r="B3" s="7"/>
      <c r="C3" s="7" t="s">
        <v>19</v>
      </c>
      <c r="D3" s="5"/>
      <c r="E3" s="5"/>
      <c r="F3" s="6"/>
    </row>
    <row r="4" spans="1:6">
      <c r="A4" s="7"/>
      <c r="B4" s="7"/>
      <c r="C4" s="7" t="s">
        <v>20</v>
      </c>
      <c r="D4" s="5"/>
      <c r="E4" s="5"/>
      <c r="F4" s="6"/>
    </row>
    <row r="5" spans="1:6">
      <c r="A5" s="7"/>
      <c r="B5" s="7"/>
      <c r="C5" s="7" t="s">
        <v>21</v>
      </c>
      <c r="D5" s="5"/>
      <c r="E5" s="5"/>
      <c r="F5" s="6"/>
    </row>
    <row r="6" spans="1:6">
      <c r="A6" s="7"/>
      <c r="B6" s="7"/>
      <c r="C6" s="7" t="s">
        <v>22</v>
      </c>
      <c r="D6" s="5"/>
      <c r="E6" s="5"/>
      <c r="F6" s="6"/>
    </row>
    <row r="7" spans="1:6">
      <c r="A7" s="6"/>
      <c r="B7" s="7"/>
      <c r="C7" s="7" t="s">
        <v>23</v>
      </c>
      <c r="D7" s="5"/>
      <c r="E7" s="5"/>
      <c r="F7" s="6"/>
    </row>
    <row r="8" spans="1:6">
      <c r="A8" s="6"/>
      <c r="B8" s="7"/>
      <c r="C8" s="7" t="s">
        <v>24</v>
      </c>
      <c r="D8" s="5"/>
      <c r="E8" s="5"/>
      <c r="F8" s="6"/>
    </row>
    <row r="9" spans="1:6">
      <c r="A9" s="7"/>
      <c r="B9" s="7"/>
      <c r="C9" s="7" t="s">
        <v>25</v>
      </c>
      <c r="D9" s="5"/>
      <c r="E9" s="5"/>
      <c r="F9" s="6"/>
    </row>
    <row r="10" spans="1:6">
      <c r="A10" s="7"/>
      <c r="B10" s="7"/>
      <c r="C10" s="10" t="s">
        <v>26</v>
      </c>
      <c r="D10" s="5"/>
      <c r="E10" s="5"/>
      <c r="F10" s="6"/>
    </row>
    <row r="11" spans="1:6">
      <c r="A11" s="7"/>
      <c r="B11" s="7"/>
      <c r="C11" s="7" t="s">
        <v>27</v>
      </c>
      <c r="D11" s="5"/>
      <c r="E11" s="5"/>
      <c r="F11" s="6"/>
    </row>
    <row r="12" spans="1:6">
      <c r="A12" s="7"/>
      <c r="B12" s="7"/>
      <c r="C12" s="10" t="s">
        <v>28</v>
      </c>
      <c r="D12" s="5"/>
      <c r="E12" s="5"/>
      <c r="F12" s="6"/>
    </row>
    <row r="13" spans="1:6">
      <c r="A13" s="7"/>
      <c r="B13" s="7"/>
      <c r="C13" s="10" t="s">
        <v>29</v>
      </c>
      <c r="D13" s="5"/>
      <c r="E13" s="5"/>
      <c r="F13" s="6"/>
    </row>
    <row r="14" spans="1:6">
      <c r="A14" s="7"/>
      <c r="B14" s="7"/>
      <c r="C14" s="10" t="s">
        <v>30</v>
      </c>
      <c r="D14" s="5"/>
      <c r="E14" s="5"/>
      <c r="F14" s="6"/>
    </row>
    <row r="15" spans="1:6">
      <c r="A15" s="6"/>
      <c r="B15" s="7"/>
      <c r="C15" s="6" t="s">
        <v>31</v>
      </c>
      <c r="D15" s="5"/>
      <c r="E15" s="5"/>
      <c r="F15" s="6"/>
    </row>
    <row r="16" spans="1:6">
      <c r="A16" s="6"/>
      <c r="B16" s="7"/>
      <c r="C16" s="10" t="s">
        <v>32</v>
      </c>
      <c r="D16" s="5"/>
      <c r="E16" s="5"/>
      <c r="F16" s="6"/>
    </row>
    <row r="17" spans="1:6">
      <c r="A17" s="6"/>
      <c r="B17" s="7"/>
      <c r="C17" s="10" t="s">
        <v>33</v>
      </c>
      <c r="D17" s="5"/>
      <c r="E17" s="5"/>
      <c r="F17" s="6"/>
    </row>
    <row r="18" spans="1:6">
      <c r="A18" s="7"/>
      <c r="B18" s="7"/>
      <c r="C18" s="6" t="s">
        <v>34</v>
      </c>
      <c r="D18" s="5"/>
      <c r="E18" s="5"/>
      <c r="F18" s="6"/>
    </row>
    <row r="19" spans="1:6">
      <c r="A19" s="7"/>
      <c r="B19" s="7"/>
      <c r="C19" s="6" t="s">
        <v>35</v>
      </c>
      <c r="D19" s="5"/>
      <c r="E19" s="5"/>
      <c r="F19" s="6"/>
    </row>
    <row r="20" spans="1:6">
      <c r="A20" s="7"/>
      <c r="B20" s="7"/>
      <c r="C20" s="10" t="s">
        <v>36</v>
      </c>
      <c r="D20" s="5"/>
      <c r="E20" s="5"/>
      <c r="F20" s="6"/>
    </row>
    <row r="21" spans="1:6">
      <c r="A21" s="7"/>
      <c r="B21" s="7"/>
      <c r="C21" s="6" t="s">
        <v>37</v>
      </c>
      <c r="D21" s="5"/>
      <c r="E21" s="5"/>
      <c r="F21" s="6"/>
    </row>
    <row r="22" spans="1:6">
      <c r="A22" s="6"/>
      <c r="B22" s="7"/>
      <c r="C22" s="6" t="s">
        <v>38</v>
      </c>
      <c r="D22" s="3"/>
      <c r="E22" s="5"/>
      <c r="F22" s="6"/>
    </row>
    <row r="23" spans="1:6">
      <c r="A23" s="6"/>
      <c r="B23" s="7"/>
      <c r="C23" s="6" t="s">
        <v>39</v>
      </c>
      <c r="D23" s="3"/>
      <c r="E23" s="5"/>
      <c r="F23" s="6"/>
    </row>
    <row r="24" spans="1:6">
      <c r="A24" s="10"/>
      <c r="B24" s="7"/>
      <c r="C24" s="10" t="s">
        <v>40</v>
      </c>
      <c r="D24" s="5"/>
      <c r="E24" s="5"/>
      <c r="F24" s="6"/>
    </row>
    <row r="25" spans="1:6">
      <c r="A25" s="6"/>
      <c r="B25" s="7"/>
      <c r="C25" s="10" t="s">
        <v>41</v>
      </c>
      <c r="D25" s="5"/>
      <c r="E25" s="5"/>
      <c r="F25" s="6"/>
    </row>
    <row r="26" spans="1:6">
      <c r="A26" s="6"/>
      <c r="B26" s="7"/>
      <c r="C26" s="6" t="s">
        <v>42</v>
      </c>
      <c r="D26" s="5"/>
      <c r="E26" s="5"/>
      <c r="F26" s="6"/>
    </row>
    <row r="27" spans="1:6">
      <c r="A27" s="10"/>
      <c r="B27" s="7"/>
      <c r="C27" s="7" t="s">
        <v>43</v>
      </c>
      <c r="D27" s="5"/>
      <c r="E27" s="5"/>
      <c r="F27" s="6"/>
    </row>
    <row r="28" spans="1:6">
      <c r="A28" s="7"/>
      <c r="B28" s="7"/>
      <c r="C28" s="10" t="s">
        <v>44</v>
      </c>
      <c r="D28" s="3"/>
      <c r="E28" s="5"/>
      <c r="F28" s="6"/>
    </row>
    <row r="29" spans="1:6">
      <c r="A29" s="24"/>
      <c r="B29" s="7"/>
      <c r="C29" s="10" t="s">
        <v>45</v>
      </c>
      <c r="D29" s="5"/>
      <c r="E29" s="5"/>
      <c r="F29" s="6"/>
    </row>
    <row r="30" spans="1:6">
      <c r="A30" s="7"/>
      <c r="B30" s="7"/>
      <c r="C30" s="10" t="s">
        <v>46</v>
      </c>
      <c r="D30" s="5"/>
      <c r="E30" s="5"/>
      <c r="F30" s="6"/>
    </row>
    <row r="31" spans="1:6">
      <c r="A31" s="7"/>
      <c r="B31" s="7"/>
      <c r="C31" s="10" t="s">
        <v>47</v>
      </c>
      <c r="D31" s="5"/>
      <c r="E31" s="5"/>
      <c r="F31" s="6"/>
    </row>
    <row r="32" spans="1:6">
      <c r="A32" s="7"/>
      <c r="B32" s="7"/>
      <c r="C32" s="6" t="s">
        <v>48</v>
      </c>
      <c r="D32" s="5"/>
      <c r="E32" s="5"/>
      <c r="F32" s="6"/>
    </row>
    <row r="33" spans="1:6">
      <c r="A33" s="7"/>
      <c r="B33" s="7"/>
      <c r="C33" s="6" t="s">
        <v>49</v>
      </c>
      <c r="D33" s="5"/>
      <c r="E33" s="5"/>
      <c r="F33" s="6"/>
    </row>
    <row r="34" spans="1:6">
      <c r="A34" s="7"/>
      <c r="B34" s="7"/>
      <c r="C34" s="10" t="s">
        <v>50</v>
      </c>
      <c r="D34" s="5"/>
      <c r="E34" s="5"/>
      <c r="F34" s="6"/>
    </row>
    <row r="35" spans="1:6">
      <c r="A35" s="7"/>
      <c r="B35" s="7"/>
      <c r="C35" s="10" t="s">
        <v>51</v>
      </c>
      <c r="D35" s="5"/>
      <c r="E35" s="5"/>
      <c r="F35" s="6"/>
    </row>
    <row r="36" spans="1:6">
      <c r="A36" s="7"/>
      <c r="B36" s="7"/>
      <c r="C36" s="10" t="s">
        <v>52</v>
      </c>
      <c r="D36" s="5"/>
      <c r="E36" s="5"/>
      <c r="F36" s="6"/>
    </row>
    <row r="37" spans="1:6">
      <c r="A37" s="7"/>
      <c r="B37" s="6"/>
      <c r="C37" s="10" t="s">
        <v>53</v>
      </c>
      <c r="D37" s="5"/>
      <c r="E37" s="5"/>
      <c r="F37" s="6"/>
    </row>
    <row r="38" spans="1:6">
      <c r="A38" s="6"/>
      <c r="B38" s="7"/>
      <c r="C38" s="6" t="s">
        <v>54</v>
      </c>
      <c r="D38" s="5"/>
      <c r="E38" s="5"/>
      <c r="F38" s="6"/>
    </row>
    <row r="39" spans="1:6">
      <c r="A39" s="7"/>
      <c r="B39" s="7"/>
      <c r="C39" s="6" t="s">
        <v>55</v>
      </c>
      <c r="D39" s="5"/>
      <c r="E39" s="5"/>
      <c r="F39" s="6"/>
    </row>
    <row r="40" spans="1:6">
      <c r="A40" s="6"/>
      <c r="B40" s="7"/>
      <c r="C40" s="6" t="s">
        <v>56</v>
      </c>
      <c r="D40" s="5"/>
      <c r="E40" s="5"/>
      <c r="F40" s="6"/>
    </row>
    <row r="41" spans="1:6">
      <c r="A41" s="7"/>
      <c r="B41" s="7"/>
      <c r="C41" s="6" t="s">
        <v>57</v>
      </c>
      <c r="D41" s="5"/>
      <c r="E41" s="5"/>
      <c r="F41" s="6"/>
    </row>
    <row r="42" spans="1:6">
      <c r="A42" s="7"/>
      <c r="B42" s="7"/>
      <c r="C42" s="6" t="s">
        <v>58</v>
      </c>
      <c r="D42" s="5"/>
      <c r="E42" s="5"/>
      <c r="F42" s="6"/>
    </row>
    <row r="43" spans="1:6">
      <c r="A43" s="6"/>
      <c r="B43" s="7"/>
      <c r="C43" s="6" t="s">
        <v>59</v>
      </c>
      <c r="D43" s="5"/>
      <c r="E43" s="5"/>
      <c r="F43" s="6"/>
    </row>
    <row r="44" spans="1:6">
      <c r="A44" s="6"/>
      <c r="B44" s="7"/>
      <c r="C44" s="6" t="s">
        <v>60</v>
      </c>
      <c r="D44" s="5"/>
      <c r="E44" s="5"/>
      <c r="F44" s="6"/>
    </row>
    <row r="45" spans="1:6">
      <c r="A45" s="7"/>
      <c r="B45" s="7"/>
      <c r="C45" s="6" t="s">
        <v>61</v>
      </c>
      <c r="D45" s="5"/>
      <c r="E45" s="5"/>
      <c r="F45" s="6"/>
    </row>
    <row r="46" spans="1:6">
      <c r="A46" s="6"/>
      <c r="B46" s="7"/>
      <c r="C46" s="7" t="s">
        <v>62</v>
      </c>
      <c r="D46" s="5"/>
      <c r="E46" s="5"/>
      <c r="F46" s="6"/>
    </row>
    <row r="47" spans="1:6">
      <c r="A47" s="6"/>
      <c r="B47" s="7"/>
      <c r="C47" s="6" t="s">
        <v>63</v>
      </c>
      <c r="D47" s="5"/>
      <c r="E47" s="5"/>
      <c r="F47" s="6"/>
    </row>
    <row r="48" spans="1:6">
      <c r="A48" s="6"/>
      <c r="B48" s="6"/>
      <c r="C48" s="7" t="s">
        <v>64</v>
      </c>
      <c r="D48" s="5"/>
      <c r="E48" s="5"/>
      <c r="F48" s="6"/>
    </row>
    <row r="49" spans="1:6">
      <c r="A49" s="7"/>
      <c r="B49" s="7"/>
      <c r="C49" s="6" t="s">
        <v>65</v>
      </c>
      <c r="D49" s="5"/>
      <c r="E49" s="5"/>
      <c r="F49" s="6"/>
    </row>
    <row r="50" spans="1:6">
      <c r="A50" s="7"/>
      <c r="B50" s="7"/>
      <c r="C50" s="7" t="s">
        <v>66</v>
      </c>
      <c r="D50" s="5"/>
      <c r="E50" s="5"/>
      <c r="F50" s="6"/>
    </row>
    <row r="51" spans="1:6">
      <c r="A51" s="7"/>
      <c r="B51" s="7"/>
      <c r="C51" s="10" t="s">
        <v>67</v>
      </c>
      <c r="D51" s="5"/>
      <c r="E51" s="5"/>
      <c r="F51" s="6"/>
    </row>
    <row r="52" spans="1:6">
      <c r="A52" s="7"/>
      <c r="B52" s="7"/>
      <c r="C52" s="7" t="s">
        <v>68</v>
      </c>
      <c r="D52" s="5"/>
      <c r="E52" s="5"/>
      <c r="F52" s="6"/>
    </row>
    <row r="53" spans="1:6">
      <c r="A53" s="7"/>
      <c r="B53" s="6"/>
      <c r="C53" s="7" t="s">
        <v>69</v>
      </c>
      <c r="D53" s="5"/>
      <c r="E53" s="5"/>
      <c r="F53" s="6"/>
    </row>
    <row r="54" spans="1:6">
      <c r="A54" s="7"/>
      <c r="B54" s="7"/>
      <c r="C54" s="7" t="s">
        <v>70</v>
      </c>
      <c r="D54" s="5"/>
      <c r="E54" s="5"/>
      <c r="F54" s="6"/>
    </row>
    <row r="55" spans="1:6">
      <c r="A55" s="7"/>
      <c r="B55" s="6"/>
      <c r="C55" s="7" t="s">
        <v>71</v>
      </c>
      <c r="D55" s="5"/>
      <c r="E55" s="5"/>
      <c r="F55" s="6"/>
    </row>
    <row r="56" spans="1:6">
      <c r="A56" s="6"/>
      <c r="B56" s="10"/>
      <c r="C56" s="7" t="s">
        <v>72</v>
      </c>
      <c r="D56" s="5"/>
      <c r="E56" s="5"/>
      <c r="F56" s="6"/>
    </row>
    <row r="57" spans="1:6">
      <c r="A57" s="7"/>
      <c r="B57" s="7"/>
      <c r="C57" s="7" t="s">
        <v>73</v>
      </c>
      <c r="D57" s="5"/>
      <c r="E57" s="5"/>
      <c r="F57" s="6"/>
    </row>
    <row r="58" spans="1:6">
      <c r="A58" s="7"/>
      <c r="B58" s="7"/>
      <c r="C58" s="7" t="s">
        <v>74</v>
      </c>
      <c r="D58" s="5"/>
      <c r="E58" s="5"/>
      <c r="F58" s="6"/>
    </row>
    <row r="59" spans="1:6">
      <c r="A59" s="7"/>
      <c r="B59" s="7"/>
      <c r="C59" s="7" t="s">
        <v>75</v>
      </c>
      <c r="D59" s="5"/>
      <c r="E59" s="6"/>
      <c r="F59" s="6"/>
    </row>
    <row r="60" spans="1:6">
      <c r="A60" s="6"/>
      <c r="B60" s="7"/>
      <c r="C60" s="7" t="s">
        <v>76</v>
      </c>
      <c r="D60" s="5"/>
      <c r="E60" s="6"/>
      <c r="F60" s="6"/>
    </row>
    <row r="61" spans="1:6">
      <c r="A61" s="6"/>
      <c r="B61" s="7"/>
      <c r="C61" s="7" t="s">
        <v>77</v>
      </c>
      <c r="D61" s="3"/>
      <c r="E61" s="6"/>
      <c r="F61" s="6"/>
    </row>
    <row r="62" spans="1:6">
      <c r="A62" s="6"/>
      <c r="B62" s="7"/>
      <c r="C62" s="7" t="s">
        <v>78</v>
      </c>
      <c r="D62" s="5"/>
      <c r="E62" s="6"/>
      <c r="F62" s="6"/>
    </row>
    <row r="63" spans="1:6">
      <c r="A63" s="6"/>
      <c r="B63" s="7"/>
      <c r="C63" s="7" t="s">
        <v>79</v>
      </c>
      <c r="D63" s="5"/>
      <c r="E63" s="6"/>
      <c r="F63" s="6"/>
    </row>
    <row r="64" spans="1:6">
      <c r="A64" s="7"/>
      <c r="B64" s="7"/>
      <c r="C64" s="7" t="s">
        <v>80</v>
      </c>
      <c r="D64" s="5"/>
      <c r="E64" s="6"/>
      <c r="F64" s="6"/>
    </row>
    <row r="65" spans="1:6">
      <c r="A65" s="6"/>
      <c r="B65" s="7"/>
      <c r="C65" s="7"/>
      <c r="D65" s="5"/>
      <c r="E65" s="6"/>
      <c r="F65" s="6"/>
    </row>
    <row r="66" spans="1:6">
      <c r="A66" s="6"/>
      <c r="B66" s="7"/>
      <c r="C66" s="7"/>
      <c r="D66" s="5"/>
      <c r="E66" s="6"/>
      <c r="F66" s="6"/>
    </row>
    <row r="67" spans="1:6">
      <c r="A67" s="6"/>
      <c r="B67" s="7"/>
      <c r="C67" s="7"/>
      <c r="D67" s="5"/>
      <c r="E67" s="6"/>
      <c r="F67" s="6"/>
    </row>
    <row r="68" spans="1:6">
      <c r="A68" s="6"/>
      <c r="B68" s="7"/>
      <c r="C68" s="7"/>
      <c r="D68" s="5"/>
      <c r="E68" s="6"/>
      <c r="F68" s="6"/>
    </row>
    <row r="69" spans="1:6">
      <c r="A69" s="6"/>
      <c r="B69" s="10"/>
      <c r="C69" s="7"/>
      <c r="D69" s="5"/>
      <c r="E69" s="6"/>
      <c r="F69" s="6"/>
    </row>
    <row r="70" spans="1:6">
      <c r="A70" s="6"/>
      <c r="B70" s="7"/>
      <c r="C70" s="7"/>
      <c r="D70" s="5"/>
      <c r="E70" s="6"/>
      <c r="F70" s="6"/>
    </row>
    <row r="71" spans="1:6">
      <c r="A71" s="6"/>
      <c r="B71" s="7"/>
      <c r="C71" s="7"/>
      <c r="D71" s="5"/>
      <c r="E71" s="6"/>
      <c r="F71" s="6"/>
    </row>
    <row r="72" spans="1:6">
      <c r="A72" s="7"/>
      <c r="B72" s="7"/>
      <c r="C72" s="7"/>
      <c r="D72" s="5"/>
      <c r="E72" s="6"/>
      <c r="F72" s="6"/>
    </row>
    <row r="73" spans="1:6">
      <c r="A73" s="6"/>
      <c r="B73" s="7"/>
      <c r="C73" s="7"/>
      <c r="D73" s="5"/>
      <c r="E73" s="6"/>
      <c r="F73" s="6"/>
    </row>
    <row r="74" spans="1:6">
      <c r="A74" s="7"/>
      <c r="B74" s="7"/>
      <c r="C74" s="7"/>
      <c r="D74" s="5"/>
      <c r="E74" s="6"/>
      <c r="F74" s="6"/>
    </row>
    <row r="75" spans="1:6">
      <c r="A75" s="7"/>
      <c r="B75" s="7"/>
      <c r="C75" s="7"/>
      <c r="D75" s="5"/>
      <c r="E75" s="6"/>
      <c r="F75" s="6"/>
    </row>
    <row r="76" spans="1:6">
      <c r="A76" s="7"/>
      <c r="B76" s="7"/>
      <c r="C76" s="5"/>
      <c r="D76" s="5"/>
      <c r="E76" s="6"/>
      <c r="F76" s="6"/>
    </row>
    <row r="77" spans="1:6">
      <c r="A77" s="7"/>
      <c r="B77" s="7"/>
      <c r="C77" s="7"/>
      <c r="D77" s="5"/>
      <c r="E77" s="6"/>
      <c r="F77" s="6"/>
    </row>
    <row r="78" spans="1:6">
      <c r="A78" s="7"/>
      <c r="B78" s="7"/>
      <c r="C78" s="7"/>
      <c r="D78" s="5"/>
      <c r="E78" s="6"/>
      <c r="F78" s="6"/>
    </row>
    <row r="79" spans="1:6">
      <c r="A79" s="7"/>
      <c r="B79" s="7"/>
      <c r="C79" s="7"/>
      <c r="D79" s="5"/>
      <c r="E79" s="6"/>
      <c r="F79" s="6"/>
    </row>
    <row r="80" spans="1:6">
      <c r="A80" s="6"/>
      <c r="B80" s="7"/>
      <c r="C80" s="7"/>
      <c r="D80" s="5"/>
      <c r="E80" s="6"/>
      <c r="F80" s="6"/>
    </row>
    <row r="81" spans="1:6">
      <c r="A81" s="6"/>
      <c r="B81" s="7"/>
      <c r="C81" s="7"/>
      <c r="D81" s="5"/>
      <c r="E81" s="6"/>
      <c r="F81" s="6"/>
    </row>
    <row r="82" spans="1:6">
      <c r="A82" s="7"/>
      <c r="B82" s="7"/>
      <c r="C82" s="7"/>
      <c r="D82" s="5"/>
      <c r="E82" s="6"/>
      <c r="F82" s="6"/>
    </row>
    <row r="83" spans="1:6">
      <c r="A83" s="7"/>
      <c r="B83" s="7"/>
      <c r="C83" s="7"/>
      <c r="D83" s="5"/>
      <c r="E83" s="6"/>
      <c r="F83" s="6"/>
    </row>
    <row r="84" spans="1:6">
      <c r="A84" s="6"/>
      <c r="B84" s="7"/>
      <c r="C84" s="7"/>
      <c r="D84" s="5"/>
      <c r="E84" s="6"/>
      <c r="F84" s="6"/>
    </row>
    <row r="85" spans="1:6">
      <c r="A85" s="6"/>
      <c r="B85" s="7"/>
      <c r="C85" s="7"/>
      <c r="D85" s="5"/>
      <c r="E85" s="6"/>
      <c r="F85" s="6"/>
    </row>
    <row r="86" spans="1:6">
      <c r="A86" s="7"/>
      <c r="B86" s="7"/>
      <c r="C86" s="7"/>
      <c r="D86" s="5"/>
      <c r="E86" s="6"/>
      <c r="F86" s="6"/>
    </row>
    <row r="87" spans="1:6">
      <c r="A87" s="6"/>
      <c r="B87" s="7"/>
      <c r="C87" s="7"/>
      <c r="D87" s="5"/>
      <c r="E87" s="6"/>
      <c r="F87" s="6"/>
    </row>
    <row r="88" spans="1:6">
      <c r="A88" s="6"/>
      <c r="B88" s="7"/>
      <c r="C88" s="7"/>
      <c r="D88" s="5"/>
      <c r="E88" s="6"/>
      <c r="F88" s="6"/>
    </row>
    <row r="89" spans="1:6">
      <c r="A89" s="7"/>
      <c r="B89" s="7"/>
      <c r="C89" s="7"/>
      <c r="D89" s="5"/>
      <c r="E89" s="6"/>
      <c r="F89" s="6"/>
    </row>
    <row r="90" spans="1:6">
      <c r="A90" s="9"/>
      <c r="B90" s="7"/>
      <c r="C90" s="9"/>
      <c r="D90" s="4" t="s">
        <v>4</v>
      </c>
    </row>
    <row r="91" spans="1:6">
      <c r="A91" s="6"/>
      <c r="C91" s="9"/>
      <c r="D91" s="1"/>
    </row>
    <row r="92" spans="1:6">
      <c r="A92" s="6"/>
      <c r="B92" s="7"/>
      <c r="C92" s="9"/>
      <c r="D92" s="4"/>
    </row>
    <row r="93" spans="1:6">
      <c r="A93" s="7"/>
      <c r="B93" s="7"/>
      <c r="C93" s="9"/>
      <c r="D93" s="4"/>
    </row>
    <row r="94" spans="1:6">
      <c r="A94" s="7"/>
      <c r="B94" s="7"/>
      <c r="C94" s="9"/>
      <c r="D94" s="4"/>
    </row>
    <row r="95" spans="1:6">
      <c r="A95" s="6"/>
      <c r="B95" s="7"/>
      <c r="C95" s="9"/>
      <c r="D95" s="4"/>
    </row>
    <row r="96" spans="1:6">
      <c r="A96" s="6"/>
      <c r="B96" s="7"/>
      <c r="C96" s="9"/>
      <c r="D96" s="4"/>
    </row>
    <row r="97" spans="1:4">
      <c r="A97" s="7"/>
      <c r="B97" s="7"/>
      <c r="C97" s="9"/>
      <c r="D97" s="4"/>
    </row>
    <row r="98" spans="1:4">
      <c r="A98" s="9"/>
      <c r="B98" s="7"/>
      <c r="C98" s="9"/>
      <c r="D98" s="4"/>
    </row>
    <row r="99" spans="1:4">
      <c r="A99" s="7"/>
      <c r="B99" s="7"/>
      <c r="C99" s="9"/>
      <c r="D99" s="4"/>
    </row>
    <row r="100" spans="1:4">
      <c r="A100" s="7"/>
      <c r="B100" s="7"/>
      <c r="C100" s="9"/>
      <c r="D100" s="4"/>
    </row>
    <row r="101" spans="1:4">
      <c r="A101" s="7"/>
      <c r="B101" s="19"/>
      <c r="C101" s="9"/>
      <c r="D101" s="4"/>
    </row>
    <row r="102" spans="1:4">
      <c r="A102" s="18"/>
      <c r="B102" s="19"/>
      <c r="C102" s="20"/>
      <c r="D102" s="4"/>
    </row>
    <row r="103" spans="1:4">
      <c r="A103" s="15"/>
      <c r="B103" s="16"/>
      <c r="C103" s="17"/>
      <c r="D103" s="4"/>
    </row>
    <row r="104" spans="1:4">
      <c r="A104" s="15"/>
      <c r="B104" s="16"/>
      <c r="C104" s="17"/>
      <c r="D104" s="4"/>
    </row>
    <row r="105" spans="1:4">
      <c r="A105" s="15"/>
      <c r="B105" s="16"/>
      <c r="C105" s="17"/>
      <c r="D105" s="4"/>
    </row>
    <row r="106" spans="1:4">
      <c r="A106" s="6"/>
      <c r="B106" s="7"/>
      <c r="C106" s="9"/>
      <c r="D106" s="4"/>
    </row>
    <row r="107" spans="1:4">
      <c r="A107" s="7"/>
      <c r="B107" s="7"/>
      <c r="C107" s="17"/>
      <c r="D107" s="4"/>
    </row>
    <row r="108" spans="1:4">
      <c r="A108" s="6"/>
      <c r="B108" s="7"/>
      <c r="C108" s="17"/>
      <c r="D108" s="4"/>
    </row>
    <row r="109" spans="1:4">
      <c r="A109" s="7"/>
      <c r="B109" s="7"/>
      <c r="C109" s="17"/>
      <c r="D109" s="1"/>
    </row>
    <row r="110" spans="1:4">
      <c r="A110" s="6"/>
      <c r="B110" s="7"/>
      <c r="C110" s="17"/>
      <c r="D110" s="4"/>
    </row>
    <row r="111" spans="1:4">
      <c r="A111" s="6"/>
      <c r="B111" s="7"/>
      <c r="C111" s="17"/>
      <c r="D111" s="4"/>
    </row>
    <row r="112" spans="1:4">
      <c r="A112" s="6"/>
      <c r="B112" s="7"/>
      <c r="C112" s="17"/>
      <c r="D112" s="1"/>
    </row>
    <row r="113" spans="1:4">
      <c r="A113" s="6"/>
      <c r="B113" s="7"/>
      <c r="C113" s="17"/>
      <c r="D113" s="1"/>
    </row>
    <row r="114" spans="1:4">
      <c r="A114" s="7"/>
      <c r="B114" s="7"/>
      <c r="C114" s="9"/>
      <c r="D114" s="4"/>
    </row>
    <row r="115" spans="1:4">
      <c r="A115" s="7"/>
      <c r="B115" s="7"/>
      <c r="C115" s="17"/>
      <c r="D115" s="4"/>
    </row>
  </sheetData>
  <conditionalFormatting sqref="B2:B108">
    <cfRule type="duplicateValues" dxfId="6" priority="7"/>
  </conditionalFormatting>
  <conditionalFormatting sqref="B2 B4:B33 B35:B51 B92:B115 B53:B90">
    <cfRule type="duplicateValues" dxfId="5" priority="6"/>
  </conditionalFormatting>
  <conditionalFormatting sqref="B2:B115">
    <cfRule type="duplicateValues" dxfId="4" priority="5"/>
  </conditionalFormatting>
  <conditionalFormatting sqref="B2 B35:B51 B4:B33 B53:B90">
    <cfRule type="duplicateValues" dxfId="3" priority="4"/>
  </conditionalFormatting>
  <conditionalFormatting sqref="B2:B90">
    <cfRule type="duplicateValues" dxfId="2" priority="3"/>
  </conditionalFormatting>
  <conditionalFormatting sqref="B47:B58 B1:B8 B15:B45">
    <cfRule type="duplicateValues" dxfId="1" priority="2"/>
  </conditionalFormatting>
  <conditionalFormatting sqref="B1:B58">
    <cfRule type="duplicateValues" dxfId="0" priority="1"/>
  </conditionalFormatting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2017-2018</vt:lpstr>
      <vt:lpstr>Last Years Boys</vt:lpstr>
      <vt:lpstr>Male Plot</vt:lpstr>
    </vt:vector>
  </TitlesOfParts>
  <Company>Natural Environment Research Council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Warren</dc:creator>
  <cp:lastModifiedBy>JD</cp:lastModifiedBy>
  <cp:lastPrinted>2017-12-17T08:34:17Z</cp:lastPrinted>
  <dcterms:created xsi:type="dcterms:W3CDTF">2003-11-01T10:38:06Z</dcterms:created>
  <dcterms:modified xsi:type="dcterms:W3CDTF">2018-01-05T12:47:08Z</dcterms:modified>
</cp:coreProperties>
</file>