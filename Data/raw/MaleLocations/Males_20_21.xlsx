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4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ni\09-Recaptures\Data\raw\MaleLocations\"/>
    </mc:Choice>
  </mc:AlternateContent>
  <xr:revisionPtr revIDLastSave="0" documentId="13_ncr:1_{512B1BCC-B2C4-455F-9025-2A45CE032309}" xr6:coauthVersionLast="36" xr6:coauthVersionMax="47" xr10:uidLastSave="{00000000-0000-0000-0000-000000000000}"/>
  <bookViews>
    <workbookView minimized="1" xWindow="-90" yWindow="-90" windowWidth="23235" windowHeight="12435" tabRatio="601" xr2:uid="{00000000-000D-0000-FFFF-FFFF00000000}"/>
  </bookViews>
  <sheets>
    <sheet name="2020-2021" sheetId="5" r:id="rId1"/>
    <sheet name="Male Plot" sheetId="7" r:id="rId2"/>
    <sheet name="Last Years Boys" sheetId="6" r:id="rId3"/>
  </sheets>
  <definedNames>
    <definedName name="_xlnm._FilterDatabase" localSheetId="0" hidden="1">'2020-2021'!$C$1:$D$294</definedName>
  </definedNames>
  <calcPr calcId="191029"/>
</workbook>
</file>

<file path=xl/calcChain.xml><?xml version="1.0" encoding="utf-8"?>
<calcChain xmlns="http://schemas.openxmlformats.org/spreadsheetml/2006/main">
  <c r="AY1" i="5" l="1"/>
  <c r="BY1" i="5" l="1"/>
  <c r="BX1" i="5"/>
  <c r="BW1" i="5"/>
  <c r="BV1" i="5"/>
  <c r="BU1" i="5"/>
  <c r="BT1" i="5"/>
  <c r="BS1" i="5"/>
  <c r="BR1" i="5"/>
  <c r="BQ1" i="5"/>
  <c r="BP1" i="5"/>
  <c r="AL1" i="5"/>
  <c r="AK1" i="5"/>
  <c r="R1" i="5"/>
  <c r="Q1" i="5"/>
  <c r="P1" i="5"/>
  <c r="I1" i="5"/>
  <c r="J1" i="5"/>
  <c r="K1" i="5"/>
  <c r="L1" i="5"/>
  <c r="M1" i="5"/>
  <c r="N1" i="5"/>
  <c r="O1" i="5"/>
  <c r="S1" i="5"/>
  <c r="T1" i="5"/>
  <c r="U1" i="5"/>
  <c r="V1" i="5"/>
  <c r="W1" i="5"/>
  <c r="X1" i="5"/>
  <c r="Y1" i="5"/>
  <c r="Z1" i="5"/>
  <c r="AA1" i="5"/>
  <c r="AB1" i="5"/>
  <c r="AC1" i="5"/>
  <c r="AD1" i="5"/>
  <c r="AE1" i="5"/>
  <c r="AF1" i="5"/>
  <c r="AG1" i="5"/>
  <c r="AH1" i="5"/>
  <c r="AI1" i="5"/>
  <c r="AJ1" i="5"/>
  <c r="AM1" i="5"/>
  <c r="AN1" i="5"/>
  <c r="AO1" i="5"/>
  <c r="AP1" i="5"/>
  <c r="AQ1" i="5"/>
  <c r="AR1" i="5"/>
  <c r="AS1" i="5"/>
  <c r="AT1" i="5"/>
  <c r="AU1" i="5"/>
  <c r="AV1" i="5"/>
  <c r="AW1" i="5"/>
  <c r="AX1" i="5"/>
  <c r="AZ1" i="5"/>
  <c r="BA1" i="5"/>
  <c r="BB1" i="5"/>
  <c r="BC1" i="5"/>
  <c r="BD1" i="5"/>
  <c r="BE1" i="5"/>
  <c r="BF1" i="5"/>
  <c r="BG1" i="5"/>
  <c r="BH1" i="5"/>
  <c r="BI1" i="5"/>
  <c r="BJ1" i="5"/>
  <c r="BK1" i="5"/>
  <c r="BL1" i="5"/>
  <c r="BM1" i="5"/>
  <c r="BN1" i="5"/>
  <c r="BO1" i="5"/>
  <c r="H1" i="5"/>
  <c r="G1" i="5"/>
  <c r="CX294" i="5"/>
  <c r="CW294" i="5"/>
  <c r="CV294" i="5"/>
  <c r="CU294" i="5"/>
  <c r="CT294" i="5"/>
  <c r="CS294" i="5"/>
  <c r="CR294" i="5"/>
  <c r="CQ294" i="5"/>
  <c r="CP294" i="5"/>
  <c r="CO294" i="5"/>
  <c r="CN294" i="5"/>
  <c r="CM294" i="5"/>
  <c r="CL294" i="5"/>
  <c r="CK294" i="5"/>
  <c r="CJ294" i="5"/>
  <c r="CI294" i="5"/>
  <c r="CH294" i="5"/>
  <c r="CG294" i="5"/>
</calcChain>
</file>

<file path=xl/sharedStrings.xml><?xml version="1.0" encoding="utf-8"?>
<sst xmlns="http://schemas.openxmlformats.org/spreadsheetml/2006/main" count="1634" uniqueCount="722">
  <si>
    <t>Tags</t>
  </si>
  <si>
    <t>Tissue Sampled</t>
  </si>
  <si>
    <t>Serial Number</t>
  </si>
  <si>
    <t>Old Paint/Comments</t>
  </si>
  <si>
    <t>-/-</t>
  </si>
  <si>
    <t>Total Males on Beach</t>
  </si>
  <si>
    <t>Name and paint marks</t>
  </si>
  <si>
    <t>PIT tag</t>
  </si>
  <si>
    <t>Y</t>
  </si>
  <si>
    <t>TS/TH</t>
  </si>
  <si>
    <t>TH/TH</t>
  </si>
  <si>
    <t>-</t>
  </si>
  <si>
    <t>0415A4E472</t>
  </si>
  <si>
    <t>04162E73BE</t>
  </si>
  <si>
    <t>04159E3074</t>
  </si>
  <si>
    <t>TS/TS</t>
  </si>
  <si>
    <t>0413020E65</t>
  </si>
  <si>
    <t>04162E9908</t>
  </si>
  <si>
    <t>04162E7A18</t>
  </si>
  <si>
    <t>04162E8F48</t>
  </si>
  <si>
    <t>04162EB497</t>
  </si>
  <si>
    <t>04162EC088</t>
  </si>
  <si>
    <t>AGM18001</t>
  </si>
  <si>
    <t>Batman - 2 Green dot on left shoulder and one on the right shoulder</t>
  </si>
  <si>
    <t>AGM18005</t>
  </si>
  <si>
    <t>Flash - Pink on left flipper and Orange left rump/flipper</t>
  </si>
  <si>
    <t>AGM18003</t>
  </si>
  <si>
    <t>Spiderman - Pink on chest and left rump</t>
  </si>
  <si>
    <t>AGM18002</t>
  </si>
  <si>
    <t>Hulk - Green on right back and 2 Green dot left rump (repainted green dot on rump and left side of face)</t>
  </si>
  <si>
    <t>0417820826</t>
  </si>
  <si>
    <t>Thor - Green dot mid rump and Pink dot right shoulder</t>
  </si>
  <si>
    <t>AGM18004</t>
  </si>
  <si>
    <t>Green Lantern - Green dot and line on left rump</t>
  </si>
  <si>
    <t xml:space="preserve">Unpainted </t>
  </si>
  <si>
    <t>AGM18006</t>
  </si>
  <si>
    <t>Wolverine - 2 Blue dot on the chest and one on the neck</t>
  </si>
  <si>
    <t>Mystic - Blue dot right shoulder</t>
  </si>
  <si>
    <t>AGM18007</t>
  </si>
  <si>
    <t>Thanos -  Yellow dot right rump</t>
  </si>
  <si>
    <t>AGM18008</t>
  </si>
  <si>
    <t>Captain America - Blue dot on middle rump and bac</t>
  </si>
  <si>
    <t>AGM18009</t>
  </si>
  <si>
    <t>Iron man - Pink/Blue/Pink dot in line in the mid back</t>
  </si>
  <si>
    <t>AGM18010</t>
  </si>
  <si>
    <t>Deadpool - Blue dot on right belly, mid rump and right shoulder</t>
  </si>
  <si>
    <t>AGM18011</t>
  </si>
  <si>
    <t>Loki - Blue dot on chest</t>
  </si>
  <si>
    <t>AGM18012</t>
  </si>
  <si>
    <t>Groot - Blue and orange dot on right rump and blue dot on left rump</t>
  </si>
  <si>
    <t>0413021990</t>
  </si>
  <si>
    <t>AGM18013</t>
  </si>
  <si>
    <t>Nut - Yellow dot on right rump and left shoulder</t>
  </si>
  <si>
    <t>AGM18014</t>
  </si>
  <si>
    <t>Porkchop - Yellow dot on neck and mid back</t>
  </si>
  <si>
    <t>AGM18015</t>
  </si>
  <si>
    <t>Ant-Man - Yellow dot right belly + Purple dot mid back and mid rump</t>
  </si>
  <si>
    <t>Wasp - Yellow dot left rump and left back</t>
  </si>
  <si>
    <t>AGM18016</t>
  </si>
  <si>
    <t>Falcon - Green dot on mid back and right belly + Yellow dot on mid rump</t>
  </si>
  <si>
    <t>AGM18017</t>
  </si>
  <si>
    <t>Pr. Xavier - Green dot mid rump and Yellow dot on right belly</t>
  </si>
  <si>
    <t>AGM18018</t>
  </si>
  <si>
    <t>Magneto - Green dot mid rump and mid back + Purple right belly</t>
  </si>
  <si>
    <t>AGM18019</t>
  </si>
  <si>
    <t>Iceman - Blue/Green/Purple on right rump (repainted 18/11 green chest; 21/11 big purple rump)</t>
  </si>
  <si>
    <t>AGM18020</t>
  </si>
  <si>
    <t>Cyclops - Purple/Green/Purple on rump</t>
  </si>
  <si>
    <t>AGM18021</t>
  </si>
  <si>
    <t>Rogue - Orange/Purple left rump + Orange right rump</t>
  </si>
  <si>
    <t>AGM18022</t>
  </si>
  <si>
    <t>Sabretooth - 2 Orange on left shoulder</t>
  </si>
  <si>
    <t>AGM18023</t>
  </si>
  <si>
    <t>Croissant - Purple/Orange/Purple left rump + Orange left belly</t>
  </si>
  <si>
    <t>AGM18025</t>
  </si>
  <si>
    <t>Colossus - Green/Blue/Blue dot on rump</t>
  </si>
  <si>
    <t>0417083C34</t>
  </si>
  <si>
    <t>AGM18024</t>
  </si>
  <si>
    <t xml:space="preserve">Angel </t>
  </si>
  <si>
    <t>Y5797/Y5797</t>
  </si>
  <si>
    <t>AGM18026</t>
  </si>
  <si>
    <t>Cheesecake - Yellow mid back and left rump + Orange rump</t>
  </si>
  <si>
    <t>AGM18027</t>
  </si>
  <si>
    <t xml:space="preserve">Storm - Yellow/Orange left rump and Yellow back </t>
  </si>
  <si>
    <t>AGM18028</t>
  </si>
  <si>
    <t>Venom- Pink Rump/neck, Blue black</t>
  </si>
  <si>
    <t>AGM18029</t>
  </si>
  <si>
    <t>Peter Parker- Pink/blue on right rump</t>
  </si>
  <si>
    <t>AGM18030</t>
  </si>
  <si>
    <t>Tony Stark- Orange/ Blue Left Rump, Orange Mind Back</t>
  </si>
  <si>
    <t>AGM18031</t>
  </si>
  <si>
    <t>Captain Marvel- Orange L shoulder, Blue L Rump</t>
  </si>
  <si>
    <t>AGM18032</t>
  </si>
  <si>
    <t>Phoenix- 3 blue dots down head/neck</t>
  </si>
  <si>
    <t>AGM18033</t>
  </si>
  <si>
    <t>Dr Snow- Orange dot on shoulder and rump</t>
  </si>
  <si>
    <t>AGM18034</t>
  </si>
  <si>
    <t>Joker- Green/pink/green on left rump</t>
  </si>
  <si>
    <t>AGM18035</t>
  </si>
  <si>
    <t>Daredevil- Blue/ yellow on mid back Deep cut on left side</t>
  </si>
  <si>
    <t>AGM18036</t>
  </si>
  <si>
    <t>Logan- Yellow/Blue/Yellow Rump</t>
  </si>
  <si>
    <t>04162E8879</t>
  </si>
  <si>
    <t>AGM18037</t>
  </si>
  <si>
    <t>Starlord- 2xgreen dots on Rump</t>
  </si>
  <si>
    <t>AGM18038</t>
  </si>
  <si>
    <t>Rocket- pink stripe on back</t>
  </si>
  <si>
    <t>AGM18039</t>
  </si>
  <si>
    <t>Drax- Lime Green stripe on back and pink dot on rump</t>
  </si>
  <si>
    <t>AGM18040</t>
  </si>
  <si>
    <t>Quill- Pink shoulder and mid back</t>
  </si>
  <si>
    <t>AGM18041</t>
  </si>
  <si>
    <t>Thing- Blue Dot on Shoulder</t>
  </si>
  <si>
    <t>04162E9F19</t>
  </si>
  <si>
    <t>AGM18042</t>
  </si>
  <si>
    <t>Mr Fantastic- Blue/pink Rump</t>
  </si>
  <si>
    <t>GG5893/TS</t>
  </si>
  <si>
    <t>AGM18043</t>
  </si>
  <si>
    <t>Cake- Pink Rump, Blue/green shoulder</t>
  </si>
  <si>
    <t>Gtag/TS</t>
  </si>
  <si>
    <t>AGM18044</t>
  </si>
  <si>
    <t>Victor- Green/yellow mid back</t>
  </si>
  <si>
    <t>AGM18045</t>
  </si>
  <si>
    <t>Dr Doom-Orange/pink Back</t>
  </si>
  <si>
    <t>AGM18046</t>
  </si>
  <si>
    <t>Sheep-Blue Stripe down left side</t>
  </si>
  <si>
    <t>TH/GGtag</t>
  </si>
  <si>
    <t>AGM18047</t>
  </si>
  <si>
    <t>silver surfer- yellow dots down back</t>
  </si>
  <si>
    <t>AGM18048</t>
  </si>
  <si>
    <t>Green Arrow-orange back and green rump</t>
  </si>
  <si>
    <t>AGM18049</t>
  </si>
  <si>
    <t>Juggernaut- Green/Pink on left side</t>
  </si>
  <si>
    <t>AGM18050</t>
  </si>
  <si>
    <t>Quicksilver- Pink chest and green right rumo</t>
  </si>
  <si>
    <t>AGM18051</t>
  </si>
  <si>
    <t>Stan Lee-Pink head</t>
  </si>
  <si>
    <t>AGM18052</t>
  </si>
  <si>
    <t>Toad-Green Head</t>
  </si>
  <si>
    <t>AGM18053</t>
  </si>
  <si>
    <t>X-men - blue on rump</t>
  </si>
  <si>
    <t>AGM18054</t>
  </si>
  <si>
    <t>Clint- Orange/pink/blue rump</t>
  </si>
  <si>
    <t>AGM18055</t>
  </si>
  <si>
    <t>Black Panther-Orange/ pink/ yellow rump</t>
  </si>
  <si>
    <t>AGM18056</t>
  </si>
  <si>
    <t>Avengers- old orange paint on head</t>
  </si>
  <si>
    <t>AGM18057</t>
  </si>
  <si>
    <t>blue/green mid back</t>
  </si>
  <si>
    <t>N</t>
  </si>
  <si>
    <t>04170690B1</t>
  </si>
  <si>
    <t>AGM18058</t>
  </si>
  <si>
    <t>orange right shoulder and back</t>
  </si>
  <si>
    <t>04162E6E1B</t>
  </si>
  <si>
    <t>AGM18059</t>
  </si>
  <si>
    <t>No paint- ran away.</t>
  </si>
  <si>
    <t>AGM18060</t>
  </si>
  <si>
    <t>Blue back</t>
  </si>
  <si>
    <t>AGM18061</t>
  </si>
  <si>
    <t>green and orange bum</t>
  </si>
  <si>
    <t>Resmecca - Lime green spot on rump.</t>
  </si>
  <si>
    <t>Eisbar - yellow on rump, lime of left flank</t>
  </si>
  <si>
    <t>Swein blue + lime on rump (wound on back of neck)</t>
  </si>
  <si>
    <t>Faltier - Pink on left, orange on front</t>
  </si>
  <si>
    <t>Stinktier - Pink on right, pink on rump</t>
  </si>
  <si>
    <t>Kaiserpinguin - yellow on back</t>
  </si>
  <si>
    <t>TH/BT</t>
  </si>
  <si>
    <t>Wespe - Yellow and lime on back</t>
  </si>
  <si>
    <t>Nashorn - square with two orange dots and two pink dots on back</t>
  </si>
  <si>
    <t>B4827/B4827</t>
  </si>
  <si>
    <t>2811</t>
  </si>
  <si>
    <t>2809</t>
  </si>
  <si>
    <t>2610</t>
  </si>
  <si>
    <t>2319</t>
  </si>
  <si>
    <t>2008</t>
  </si>
  <si>
    <t>1212</t>
  </si>
  <si>
    <t>1808</t>
  </si>
  <si>
    <t>2208</t>
  </si>
  <si>
    <t>Intertidal</t>
  </si>
  <si>
    <t>1306</t>
  </si>
  <si>
    <t>1007</t>
  </si>
  <si>
    <t>2510</t>
  </si>
  <si>
    <t>1916</t>
  </si>
  <si>
    <t>1411</t>
  </si>
  <si>
    <t>0808</t>
  </si>
  <si>
    <t>1008</t>
  </si>
  <si>
    <t>2709</t>
  </si>
  <si>
    <t>1412</t>
  </si>
  <si>
    <t>0707</t>
  </si>
  <si>
    <t>1408</t>
  </si>
  <si>
    <t>1010</t>
  </si>
  <si>
    <t>2210</t>
  </si>
  <si>
    <t>2010</t>
  </si>
  <si>
    <t>1012</t>
  </si>
  <si>
    <t>1617</t>
  </si>
  <si>
    <t>1314</t>
  </si>
  <si>
    <t>0807</t>
  </si>
  <si>
    <t>0810</t>
  </si>
  <si>
    <t>1912</t>
  </si>
  <si>
    <t>1009</t>
  </si>
  <si>
    <t>1309</t>
  </si>
  <si>
    <t>0405</t>
  </si>
  <si>
    <t>0205</t>
  </si>
  <si>
    <t>1908</t>
  </si>
  <si>
    <t>2207</t>
  </si>
  <si>
    <t>2016</t>
  </si>
  <si>
    <t>1409</t>
  </si>
  <si>
    <t>3207</t>
  </si>
  <si>
    <t>1110</t>
  </si>
  <si>
    <t>0910</t>
  </si>
  <si>
    <t>0508</t>
  </si>
  <si>
    <t>2312</t>
  </si>
  <si>
    <t>2017</t>
  </si>
  <si>
    <t>2512</t>
  </si>
  <si>
    <t>Boba Fett - yellow on back</t>
  </si>
  <si>
    <t>0407</t>
  </si>
  <si>
    <t>0913</t>
  </si>
  <si>
    <t>2313</t>
  </si>
  <si>
    <t>2513</t>
  </si>
  <si>
    <t>1612</t>
  </si>
  <si>
    <t>1917</t>
  </si>
  <si>
    <t>2515</t>
  </si>
  <si>
    <t>2308</t>
  </si>
  <si>
    <t>3212</t>
  </si>
  <si>
    <t>2214</t>
  </si>
  <si>
    <t>3110</t>
  </si>
  <si>
    <t>2216</t>
  </si>
  <si>
    <t>2011</t>
  </si>
  <si>
    <t>1609</t>
  </si>
  <si>
    <t>Water</t>
  </si>
  <si>
    <t>Schleiereule -  two yellow spots on back</t>
  </si>
  <si>
    <t>3410</t>
  </si>
  <si>
    <t>1918</t>
  </si>
  <si>
    <t>0305</t>
  </si>
  <si>
    <t>1910</t>
  </si>
  <si>
    <t>2409</t>
  </si>
  <si>
    <t>3208</t>
  </si>
  <si>
    <t>1208</t>
  </si>
  <si>
    <t>2414</t>
  </si>
  <si>
    <t>0406</t>
  </si>
  <si>
    <t>0811</t>
  </si>
  <si>
    <t>2204 (in water)</t>
  </si>
  <si>
    <t>3413</t>
  </si>
  <si>
    <t>G5693?/TS</t>
  </si>
  <si>
    <t>old orange paint</t>
  </si>
  <si>
    <t>0510</t>
  </si>
  <si>
    <t>1810</t>
  </si>
  <si>
    <t>Mr Fantastic</t>
  </si>
  <si>
    <t>Nilpferd 4x lime spots</t>
  </si>
  <si>
    <t>Maus 2x lime spots</t>
  </si>
  <si>
    <t>Kuh 3x pink spots</t>
  </si>
  <si>
    <t>0210</t>
  </si>
  <si>
    <t>2018</t>
  </si>
  <si>
    <t>2706 (in water)</t>
  </si>
  <si>
    <t>3211</t>
  </si>
  <si>
    <t>2213</t>
  </si>
  <si>
    <t>2309</t>
  </si>
  <si>
    <t>2612</t>
  </si>
  <si>
    <t>-0208</t>
  </si>
  <si>
    <t>New back</t>
  </si>
  <si>
    <t>0421</t>
  </si>
  <si>
    <t>3612</t>
  </si>
  <si>
    <t>Gänsesäger Blue + orange streaks on rump</t>
  </si>
  <si>
    <t>Schwan (Newish2) Blue streak on right of rump and blue on front</t>
  </si>
  <si>
    <t>Schnabeltier (Newish1) lime on front and lime + blue on left side</t>
  </si>
  <si>
    <t>Wassermadder - blue+yellow on rump (faded) - extra lime on rump and blue on front</t>
  </si>
  <si>
    <t>Lowe - no paint was in water.</t>
  </si>
  <si>
    <t>Orange/pink spots</t>
  </si>
  <si>
    <t>0307</t>
  </si>
  <si>
    <t>0211</t>
  </si>
  <si>
    <t>0809</t>
  </si>
  <si>
    <t>1413</t>
  </si>
  <si>
    <t>1310</t>
  </si>
  <si>
    <t>2109</t>
  </si>
  <si>
    <t>2009</t>
  </si>
  <si>
    <t>2507</t>
  </si>
  <si>
    <t>3414</t>
  </si>
  <si>
    <t>2307</t>
  </si>
  <si>
    <t>-0121</t>
  </si>
  <si>
    <t>3712</t>
  </si>
  <si>
    <t>3708</t>
  </si>
  <si>
    <t>0215</t>
  </si>
  <si>
    <t>3512</t>
  </si>
  <si>
    <t>2616</t>
  </si>
  <si>
    <t>1308</t>
  </si>
  <si>
    <t>0209</t>
  </si>
  <si>
    <t>2107</t>
  </si>
  <si>
    <t>3710</t>
  </si>
  <si>
    <t>0218</t>
  </si>
  <si>
    <t>0718</t>
  </si>
  <si>
    <t>1015</t>
  </si>
  <si>
    <t>2617</t>
  </si>
  <si>
    <t>3217</t>
  </si>
  <si>
    <t>3416</t>
  </si>
  <si>
    <t>Schweinswal L. blue splodge on right of back. L.blue + orange on left of rump</t>
  </si>
  <si>
    <t>Moth. L. blue stripes on back + 2x purple blobs on either side of flank</t>
  </si>
  <si>
    <t>Huhn New 21.11 Multicolous spots on back</t>
  </si>
  <si>
    <t>Wal New 3x blue spots on back</t>
  </si>
  <si>
    <t>Schmetterling New male - old orange and pink paint</t>
  </si>
  <si>
    <t>Truhthahn  - l.blue and lgreen combined spots on back x3</t>
  </si>
  <si>
    <t>meersweinschen Yellow tags (Lime green on back)</t>
  </si>
  <si>
    <t>wasserswein New left side on rocks (2x D.green spots on rump)</t>
  </si>
  <si>
    <t>pferd New right side on rocks (Dark green on front, lime on left of rump)</t>
  </si>
  <si>
    <t>3808</t>
  </si>
  <si>
    <t>2609</t>
  </si>
  <si>
    <t>1913</t>
  </si>
  <si>
    <t>1510</t>
  </si>
  <si>
    <t>1603</t>
  </si>
  <si>
    <t>0710</t>
  </si>
  <si>
    <t>0217</t>
  </si>
  <si>
    <t>0817</t>
  </si>
  <si>
    <t>2615</t>
  </si>
  <si>
    <t>2517</t>
  </si>
  <si>
    <t>2707</t>
  </si>
  <si>
    <t>3313</t>
  </si>
  <si>
    <t>3614</t>
  </si>
  <si>
    <t>2607</t>
  </si>
  <si>
    <t>2117</t>
  </si>
  <si>
    <t>2007</t>
  </si>
  <si>
    <t>1811</t>
  </si>
  <si>
    <t>1311</t>
  </si>
  <si>
    <t>0409</t>
  </si>
  <si>
    <t>0818</t>
  </si>
  <si>
    <t>1911</t>
  </si>
  <si>
    <t>2410</t>
  </si>
  <si>
    <t>3213</t>
  </si>
  <si>
    <t>3906</t>
  </si>
  <si>
    <t>0116</t>
  </si>
  <si>
    <t>1305</t>
  </si>
  <si>
    <t>1509</t>
  </si>
  <si>
    <t>2820</t>
  </si>
  <si>
    <t>2717</t>
  </si>
  <si>
    <t>3317</t>
  </si>
  <si>
    <t>3311</t>
  </si>
  <si>
    <t>3310</t>
  </si>
  <si>
    <t>3811</t>
  </si>
  <si>
    <t>2509</t>
  </si>
  <si>
    <t>2110</t>
  </si>
  <si>
    <t>Intertidal (2008)</t>
  </si>
  <si>
    <t>1714</t>
  </si>
  <si>
    <t xml:space="preserve">Intertidal </t>
  </si>
  <si>
    <t>1702</t>
  </si>
  <si>
    <t>1407</t>
  </si>
  <si>
    <t>0509</t>
  </si>
  <si>
    <t>0315</t>
  </si>
  <si>
    <t>0920</t>
  </si>
  <si>
    <t>2514</t>
  </si>
  <si>
    <t>2412</t>
  </si>
  <si>
    <t>1813</t>
  </si>
  <si>
    <t>1818</t>
  </si>
  <si>
    <t>1709</t>
  </si>
  <si>
    <t>Intertidal (1400)</t>
  </si>
  <si>
    <t>1117</t>
  </si>
  <si>
    <t>-0400</t>
  </si>
  <si>
    <t>0412</t>
  </si>
  <si>
    <t>04170679D6</t>
  </si>
  <si>
    <t>041781F7B9</t>
  </si>
  <si>
    <t>04162EB1AC</t>
  </si>
  <si>
    <t>04162E8885</t>
  </si>
  <si>
    <t>YT/YT</t>
  </si>
  <si>
    <t>1207x</t>
  </si>
  <si>
    <t>1206x</t>
  </si>
  <si>
    <t>1106x</t>
  </si>
  <si>
    <t>0707x</t>
  </si>
  <si>
    <t>0706x</t>
  </si>
  <si>
    <t>0806x</t>
  </si>
  <si>
    <t>0807x</t>
  </si>
  <si>
    <t>Waterx</t>
  </si>
  <si>
    <t>0608x</t>
  </si>
  <si>
    <t>0708x</t>
  </si>
  <si>
    <t>0607x</t>
  </si>
  <si>
    <t>3207x</t>
  </si>
  <si>
    <t>3307x</t>
  </si>
  <si>
    <t>3008x</t>
  </si>
  <si>
    <t>3208x</t>
  </si>
  <si>
    <t>3107x</t>
  </si>
  <si>
    <t>3007x</t>
  </si>
  <si>
    <t>Igel L blue spots, scarred nose.</t>
  </si>
  <si>
    <t>Fledermaus 2x orange spots</t>
  </si>
  <si>
    <t>Intertidal (2502)</t>
  </si>
  <si>
    <t>3709</t>
  </si>
  <si>
    <t>3805</t>
  </si>
  <si>
    <t>3111</t>
  </si>
  <si>
    <t>1610</t>
  </si>
  <si>
    <t>1116</t>
  </si>
  <si>
    <t>1414</t>
  </si>
  <si>
    <t>1109</t>
  </si>
  <si>
    <t>1108</t>
  </si>
  <si>
    <t>0304</t>
  </si>
  <si>
    <t>0309</t>
  </si>
  <si>
    <t>0016</t>
  </si>
  <si>
    <t>2714</t>
  </si>
  <si>
    <t>2614</t>
  </si>
  <si>
    <t>--/--</t>
  </si>
  <si>
    <t>Blue back on the rocks - Blue paint on rump</t>
  </si>
  <si>
    <t>-0421</t>
  </si>
  <si>
    <t>Green back - Green paint on chest</t>
  </si>
  <si>
    <t>-0623</t>
  </si>
  <si>
    <t>-0621</t>
  </si>
  <si>
    <t>New green tags - 2x lime green spots + lblue spot on back</t>
  </si>
  <si>
    <t>G5506?/TS</t>
  </si>
  <si>
    <t>1210</t>
  </si>
  <si>
    <t>AGM20001</t>
  </si>
  <si>
    <t>AGM20011</t>
  </si>
  <si>
    <t xml:space="preserve">Y </t>
  </si>
  <si>
    <t>AGM20002</t>
  </si>
  <si>
    <t>AGM20003</t>
  </si>
  <si>
    <t>AGM20007</t>
  </si>
  <si>
    <t>AGM20004</t>
  </si>
  <si>
    <t>AGM20005</t>
  </si>
  <si>
    <t>AGM20006</t>
  </si>
  <si>
    <t>AGM20008</t>
  </si>
  <si>
    <t>AGM20009</t>
  </si>
  <si>
    <t>AGM20012</t>
  </si>
  <si>
    <t>AGM20010</t>
  </si>
  <si>
    <t>AGM20013</t>
  </si>
  <si>
    <t>AGM20015</t>
  </si>
  <si>
    <t>AGM20016</t>
  </si>
  <si>
    <t>AGM20017</t>
  </si>
  <si>
    <t>AGM20031</t>
  </si>
  <si>
    <t>AGM20018</t>
  </si>
  <si>
    <t>AGM20019</t>
  </si>
  <si>
    <t>AGM20020</t>
  </si>
  <si>
    <t>AGM20023</t>
  </si>
  <si>
    <t>AGM20024</t>
  </si>
  <si>
    <t>AGM20025</t>
  </si>
  <si>
    <t>AGM20026</t>
  </si>
  <si>
    <t>AGM20027</t>
  </si>
  <si>
    <t>AGM20028</t>
  </si>
  <si>
    <t>AGM20029</t>
  </si>
  <si>
    <t>AGM20030</t>
  </si>
  <si>
    <t>Dodgyflip - Injured left flipper, lime green paint</t>
  </si>
  <si>
    <t>AGM20022</t>
  </si>
  <si>
    <t>AGM20014</t>
  </si>
  <si>
    <t>1317x</t>
  </si>
  <si>
    <t>1416x</t>
  </si>
  <si>
    <t>1815x</t>
  </si>
  <si>
    <t>1615x</t>
  </si>
  <si>
    <t>1914x</t>
  </si>
  <si>
    <t>1715x</t>
  </si>
  <si>
    <t>1716x</t>
  </si>
  <si>
    <t>1707x</t>
  </si>
  <si>
    <t>1907x</t>
  </si>
  <si>
    <t>2010x</t>
  </si>
  <si>
    <t>2011x</t>
  </si>
  <si>
    <t>1910x</t>
  </si>
  <si>
    <t>1808x</t>
  </si>
  <si>
    <t>1908x</t>
  </si>
  <si>
    <t>1708x</t>
  </si>
  <si>
    <t>2811x</t>
  </si>
  <si>
    <t>2510x</t>
  </si>
  <si>
    <t>2610x</t>
  </si>
  <si>
    <t>2711x</t>
  </si>
  <si>
    <t>2911x</t>
  </si>
  <si>
    <t>2708x</t>
  </si>
  <si>
    <t>2810x</t>
  </si>
  <si>
    <t>2907x</t>
  </si>
  <si>
    <t>2815x</t>
  </si>
  <si>
    <t>2816x</t>
  </si>
  <si>
    <t>04162E9286</t>
  </si>
  <si>
    <t>0014x</t>
  </si>
  <si>
    <t>0013x</t>
  </si>
  <si>
    <t>0213x</t>
  </si>
  <si>
    <t>3604</t>
  </si>
  <si>
    <t>2006</t>
  </si>
  <si>
    <t>1415</t>
  </si>
  <si>
    <t>0816</t>
  </si>
  <si>
    <t>0308</t>
  </si>
  <si>
    <t>2004 (intertidal)</t>
  </si>
  <si>
    <t>Intertidal (very near sea)</t>
  </si>
  <si>
    <t>AGM20032</t>
  </si>
  <si>
    <t>Badger - 2x l blue spots</t>
  </si>
  <si>
    <t>04162EBE26</t>
  </si>
  <si>
    <t>0317</t>
  </si>
  <si>
    <t>0014</t>
  </si>
  <si>
    <t>0609</t>
  </si>
  <si>
    <t>1112</t>
  </si>
  <si>
    <t>1313</t>
  </si>
  <si>
    <t>1516</t>
  </si>
  <si>
    <t>1805</t>
  </si>
  <si>
    <t>TH/G5???</t>
  </si>
  <si>
    <t>Extranewgtags Yellow+purple</t>
  </si>
  <si>
    <t>AGM20033</t>
  </si>
  <si>
    <t>2102 (Intertidal)</t>
  </si>
  <si>
    <t>2108</t>
  </si>
  <si>
    <t>2910</t>
  </si>
  <si>
    <t>3510</t>
  </si>
  <si>
    <t>2407</t>
  </si>
  <si>
    <t>Elnewos</t>
  </si>
  <si>
    <t>AGM20034</t>
  </si>
  <si>
    <t>3810</t>
  </si>
  <si>
    <t>3112</t>
  </si>
  <si>
    <t>3108</t>
  </si>
  <si>
    <t>3107</t>
  </si>
  <si>
    <t>2908</t>
  </si>
  <si>
    <t>2907</t>
  </si>
  <si>
    <t>2608</t>
  </si>
  <si>
    <t>2613</t>
  </si>
  <si>
    <t>2013</t>
  </si>
  <si>
    <t>2113</t>
  </si>
  <si>
    <t>1909</t>
  </si>
  <si>
    <t>1905</t>
  </si>
  <si>
    <t>2001</t>
  </si>
  <si>
    <t>1902</t>
  </si>
  <si>
    <t>1710</t>
  </si>
  <si>
    <t>1807</t>
  </si>
  <si>
    <t>1607</t>
  </si>
  <si>
    <t>1706</t>
  </si>
  <si>
    <t>1616</t>
  </si>
  <si>
    <t>1615</t>
  </si>
  <si>
    <t>1113</t>
  </si>
  <si>
    <t>1211</t>
  </si>
  <si>
    <t>0906</t>
  </si>
  <si>
    <t>0806</t>
  </si>
  <si>
    <t>0316</t>
  </si>
  <si>
    <t>0313</t>
  </si>
  <si>
    <t>-0202</t>
  </si>
  <si>
    <t>0010</t>
  </si>
  <si>
    <t>0513</t>
  </si>
  <si>
    <t>0504</t>
  </si>
  <si>
    <t>1700 (intertidal)</t>
  </si>
  <si>
    <t>1307</t>
  </si>
  <si>
    <t>1406</t>
  </si>
  <si>
    <t>AGM20035</t>
  </si>
  <si>
    <t>2817</t>
  </si>
  <si>
    <t>2115</t>
  </si>
  <si>
    <t>0022</t>
  </si>
  <si>
    <t>0214</t>
  </si>
  <si>
    <t>0012</t>
  </si>
  <si>
    <t>0709</t>
  </si>
  <si>
    <t>0505</t>
  </si>
  <si>
    <t>1111</t>
  </si>
  <si>
    <t>AGM20036</t>
  </si>
  <si>
    <t>Gans- Blue Streak</t>
  </si>
  <si>
    <t>Spinne- little blue dot of left chest</t>
  </si>
  <si>
    <t>Biene-TS/TH</t>
  </si>
  <si>
    <t>3618</t>
  </si>
  <si>
    <t>3210</t>
  </si>
  <si>
    <t>1611</t>
  </si>
  <si>
    <t>1215</t>
  </si>
  <si>
    <t>-0222</t>
  </si>
  <si>
    <t>-0213</t>
  </si>
  <si>
    <t>1204</t>
  </si>
  <si>
    <t>0706</t>
  </si>
  <si>
    <t>1904</t>
  </si>
  <si>
    <t>0607</t>
  </si>
  <si>
    <t>1608</t>
  </si>
  <si>
    <t>0114</t>
  </si>
  <si>
    <t>-0115</t>
  </si>
  <si>
    <t>0013</t>
  </si>
  <si>
    <t>0212</t>
  </si>
  <si>
    <t>2916</t>
  </si>
  <si>
    <t>2808</t>
  </si>
  <si>
    <t>2915</t>
  </si>
  <si>
    <t>1708</t>
  </si>
  <si>
    <t>1515</t>
  </si>
  <si>
    <t>1417</t>
  </si>
  <si>
    <t>0606</t>
  </si>
  <si>
    <t>AGM20037</t>
  </si>
  <si>
    <t>AGM20038</t>
  </si>
  <si>
    <t>0417083096</t>
  </si>
  <si>
    <t>Otter- pink dot on head</t>
  </si>
  <si>
    <t>1606</t>
  </si>
  <si>
    <t>2909</t>
  </si>
  <si>
    <t>2112</t>
  </si>
  <si>
    <t>2019</t>
  </si>
  <si>
    <t>1312</t>
  </si>
  <si>
    <t>0915</t>
  </si>
  <si>
    <t>0411</t>
  </si>
  <si>
    <t>0111</t>
  </si>
  <si>
    <t>New 09/12 - blue+l.green spots on rump</t>
  </si>
  <si>
    <t>TH/TS</t>
  </si>
  <si>
    <t>0417084495</t>
  </si>
  <si>
    <t>0417083CD3</t>
  </si>
  <si>
    <t>0417069384</t>
  </si>
  <si>
    <t>04162E8A87</t>
  </si>
  <si>
    <t>04170839ED</t>
  </si>
  <si>
    <t>3711</t>
  </si>
  <si>
    <t>3717</t>
  </si>
  <si>
    <t>1906</t>
  </si>
  <si>
    <t>2206</t>
  </si>
  <si>
    <t>1816</t>
  </si>
  <si>
    <t>1115</t>
  </si>
  <si>
    <t>0122</t>
  </si>
  <si>
    <t>0312</t>
  </si>
  <si>
    <t>0612</t>
  </si>
  <si>
    <t>0506</t>
  </si>
  <si>
    <t>1106</t>
  </si>
  <si>
    <t>1713</t>
  </si>
  <si>
    <t>1104</t>
  </si>
  <si>
    <t>3611</t>
  </si>
  <si>
    <t>2708</t>
  </si>
  <si>
    <t>2408</t>
  </si>
  <si>
    <t>2311</t>
  </si>
  <si>
    <t>1520</t>
  </si>
  <si>
    <t>1605</t>
  </si>
  <si>
    <t>1213</t>
  </si>
  <si>
    <t>0610</t>
  </si>
  <si>
    <t>intertidal</t>
  </si>
  <si>
    <t>End seal</t>
  </si>
  <si>
    <t>04170836F5</t>
  </si>
  <si>
    <t>goldfisch- 2 x orange</t>
  </si>
  <si>
    <t>2812</t>
  </si>
  <si>
    <t>2306</t>
  </si>
  <si>
    <t>1011</t>
  </si>
  <si>
    <t>1216</t>
  </si>
  <si>
    <t>0608</t>
  </si>
  <si>
    <t>04170826B5</t>
  </si>
  <si>
    <t>N2 blue paint on head</t>
  </si>
  <si>
    <t>N1- faint green paint</t>
  </si>
  <si>
    <t>3608</t>
  </si>
  <si>
    <t>2212</t>
  </si>
  <si>
    <t>0507</t>
  </si>
  <si>
    <t>0015</t>
  </si>
  <si>
    <t>2508</t>
  </si>
  <si>
    <t>2015</t>
  </si>
  <si>
    <t>2611</t>
  </si>
  <si>
    <t>Fred Ferkel (green and blue dots in a line on back)</t>
  </si>
  <si>
    <t>2810</t>
  </si>
  <si>
    <t>2209</t>
  </si>
  <si>
    <t>2511</t>
  </si>
  <si>
    <t>2211</t>
  </si>
  <si>
    <t>1915</t>
  </si>
  <si>
    <t>-0114</t>
  </si>
  <si>
    <t>0213</t>
  </si>
  <si>
    <t>ND1</t>
  </si>
  <si>
    <t>ND2</t>
  </si>
  <si>
    <t>1613</t>
  </si>
  <si>
    <t>Badflipper</t>
  </si>
  <si>
    <t>0812</t>
  </si>
  <si>
    <t>Hedgehog L blue spots</t>
  </si>
  <si>
    <t>AGM20039</t>
  </si>
  <si>
    <t>AGM20040</t>
  </si>
  <si>
    <t>AGM20041</t>
  </si>
  <si>
    <t>AGM20042</t>
  </si>
  <si>
    <t>AGM20043</t>
  </si>
  <si>
    <t>AGM20044</t>
  </si>
  <si>
    <t>AGM20045</t>
  </si>
  <si>
    <t>AGM20046</t>
  </si>
  <si>
    <t>1508</t>
  </si>
  <si>
    <t>0911</t>
  </si>
  <si>
    <t>Tardigrade - green +orange</t>
  </si>
  <si>
    <t>0204</t>
  </si>
  <si>
    <t>0017</t>
  </si>
  <si>
    <t>-0414</t>
  </si>
  <si>
    <t>-0209</t>
  </si>
  <si>
    <t>1812</t>
  </si>
  <si>
    <t>1514</t>
  </si>
  <si>
    <t>0611</t>
  </si>
  <si>
    <t>0916</t>
  </si>
  <si>
    <t>041781EEF9</t>
  </si>
  <si>
    <t>Blue on head</t>
  </si>
  <si>
    <t>Fancy - Double blue spot on back + yellow dot</t>
  </si>
  <si>
    <t>2417</t>
  </si>
  <si>
    <t>2418</t>
  </si>
  <si>
    <t>2x orange spots + wound on rump</t>
  </si>
  <si>
    <t>Unpainted (water level too high)</t>
  </si>
  <si>
    <t>Orange on head/back</t>
  </si>
  <si>
    <t>04162EBF2B</t>
  </si>
  <si>
    <t>Turtle</t>
  </si>
  <si>
    <t>AGM20047</t>
  </si>
  <si>
    <t>AGM20048</t>
  </si>
  <si>
    <t>AGM20049</t>
  </si>
  <si>
    <t>AGM20050</t>
  </si>
  <si>
    <t>AGM20051</t>
  </si>
  <si>
    <t>AGM20052</t>
  </si>
  <si>
    <t>Green on back (left beach)</t>
  </si>
  <si>
    <t>Greenspots</t>
  </si>
  <si>
    <t>Yellow and blue on back</t>
  </si>
  <si>
    <t>-0207</t>
  </si>
  <si>
    <t>04162E783A</t>
  </si>
  <si>
    <t>Y5661/Y5661</t>
  </si>
  <si>
    <t>Found exhausted in the stream on FWB, now being predated by giant petrels and sheathbills.</t>
  </si>
  <si>
    <t>Question Seal</t>
  </si>
  <si>
    <t>Bseal</t>
  </si>
  <si>
    <t>AGM20053</t>
  </si>
  <si>
    <t>1413 - then seen on FWB walking up the stream in the evening.</t>
  </si>
  <si>
    <t>2606</t>
  </si>
  <si>
    <t>Pink rump</t>
  </si>
  <si>
    <t>0410</t>
  </si>
  <si>
    <t>-0315</t>
  </si>
  <si>
    <t>AGM20054</t>
  </si>
  <si>
    <t>0511</t>
  </si>
  <si>
    <t>Old orange paint, blue and green on sides of rump (chest very wounded and coverd in puss so no tissue sample yet)</t>
  </si>
  <si>
    <t>AGM20055</t>
  </si>
  <si>
    <t>New green and blue stripes</t>
  </si>
  <si>
    <t>2310</t>
  </si>
  <si>
    <t>Teeny</t>
  </si>
  <si>
    <t>Ronald</t>
  </si>
  <si>
    <t>Reginald</t>
  </si>
  <si>
    <t>1914</t>
  </si>
  <si>
    <t>1707</t>
  </si>
  <si>
    <t>AGM20056</t>
  </si>
  <si>
    <t>1814</t>
  </si>
  <si>
    <t>Blue stripe on back</t>
  </si>
  <si>
    <t>1712</t>
  </si>
  <si>
    <t>Purple on right</t>
  </si>
  <si>
    <t>Purp on back</t>
  </si>
  <si>
    <t>AGM20060</t>
  </si>
  <si>
    <t>AGM20059</t>
  </si>
  <si>
    <t>AGM20058</t>
  </si>
  <si>
    <t>AGM20057</t>
  </si>
  <si>
    <t>2706</t>
  </si>
  <si>
    <t>0404</t>
  </si>
  <si>
    <t>0604</t>
  </si>
  <si>
    <t>0909</t>
  </si>
  <si>
    <t>0219</t>
  </si>
  <si>
    <t>0319</t>
  </si>
  <si>
    <t>-0214</t>
  </si>
  <si>
    <t>1507</t>
  </si>
  <si>
    <t>2716</t>
  </si>
  <si>
    <t>2116</t>
  </si>
  <si>
    <t>2806</t>
  </si>
  <si>
    <t>1016</t>
  </si>
  <si>
    <t>1006</t>
  </si>
  <si>
    <t>-0210</t>
  </si>
  <si>
    <t>Light blue</t>
  </si>
  <si>
    <t>1410</t>
  </si>
  <si>
    <t>2404</t>
  </si>
  <si>
    <t>AGM20061</t>
  </si>
  <si>
    <t>0417083A3B</t>
  </si>
  <si>
    <t>041706B7CE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</si>
</sst>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368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49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2" fillId="0" borderId="0" xfId="0" applyNumberFormat="1" applyFont="1" applyFill="1"/>
    <xf numFmtId="0" fontId="0" fillId="0" borderId="0" xfId="0" applyFill="1"/>
    <xf numFmtId="0" fontId="2" fillId="0" borderId="0" xfId="0" applyFont="1" applyFill="1"/>
    <xf numFmtId="0" fontId="2" fillId="0" borderId="0" xfId="0" applyFont="1"/>
    <xf numFmtId="0" fontId="1" fillId="0" borderId="0" xfId="0" applyFont="1" applyFill="1"/>
    <xf numFmtId="0" fontId="1" fillId="0" borderId="0" xfId="0" applyNumberFormat="1" applyFont="1" applyFill="1"/>
    <xf numFmtId="2" fontId="0" fillId="0" borderId="0" xfId="0" applyNumberFormat="1" applyFill="1"/>
    <xf numFmtId="2" fontId="2" fillId="0" borderId="0" xfId="0" applyNumberFormat="1" applyFont="1" applyFill="1"/>
    <xf numFmtId="2" fontId="2" fillId="0" borderId="0" xfId="0" applyNumberFormat="1" applyFont="1"/>
    <xf numFmtId="0" fontId="0" fillId="0" borderId="0" xfId="0" applyFill="1" applyBorder="1"/>
    <xf numFmtId="0" fontId="2" fillId="0" borderId="0" xfId="0" applyFont="1" applyFill="1" applyBorder="1"/>
    <xf numFmtId="0" fontId="2" fillId="0" borderId="0" xfId="0" applyFont="1" applyBorder="1"/>
    <xf numFmtId="49" fontId="0" fillId="0" borderId="0" xfId="0" applyNumberFormat="1" applyFill="1" applyAlignment="1">
      <alignment horizontal="left"/>
    </xf>
    <xf numFmtId="49" fontId="2" fillId="0" borderId="0" xfId="0" applyNumberFormat="1" applyFont="1" applyFill="1" applyBorder="1"/>
    <xf numFmtId="49" fontId="0" fillId="0" borderId="0" xfId="0" applyNumberFormat="1" applyFill="1"/>
    <xf numFmtId="49" fontId="2" fillId="0" borderId="0" xfId="0" applyNumberFormat="1" applyFont="1" applyFill="1"/>
    <xf numFmtId="0" fontId="0" fillId="0" borderId="0" xfId="0" applyFill="1"/>
    <xf numFmtId="0" fontId="2" fillId="0" borderId="0" xfId="0" applyFont="1" applyFill="1"/>
    <xf numFmtId="0" fontId="0" fillId="0" borderId="0" xfId="0" applyFont="1" applyFill="1"/>
    <xf numFmtId="49" fontId="1" fillId="0" borderId="0" xfId="0" applyNumberFormat="1" applyFont="1" applyFill="1"/>
    <xf numFmtId="49" fontId="0" fillId="0" borderId="0" xfId="0" applyNumberFormat="1" applyFont="1" applyFill="1"/>
    <xf numFmtId="49" fontId="0" fillId="0" borderId="0" xfId="0" applyNumberFormat="1" applyFill="1" applyBorder="1"/>
    <xf numFmtId="49" fontId="1" fillId="0" borderId="0" xfId="0" applyNumberFormat="1" applyFont="1" applyFill="1" applyBorder="1"/>
    <xf numFmtId="0" fontId="0" fillId="0" borderId="0" xfId="0" applyNumberFormat="1" applyFont="1" applyFill="1"/>
    <xf numFmtId="0" fontId="0" fillId="0" borderId="0" xfId="0" applyNumberFormat="1" applyFill="1"/>
    <xf numFmtId="49" fontId="0" fillId="0" borderId="0" xfId="0" applyNumberFormat="1" applyFill="1"/>
    <xf numFmtId="49" fontId="2" fillId="0" borderId="0" xfId="0" applyNumberFormat="1" applyFont="1" applyFill="1"/>
    <xf numFmtId="0" fontId="0" fillId="0" borderId="0" xfId="0" applyFill="1"/>
    <xf numFmtId="0" fontId="2" fillId="0" borderId="0" xfId="0" applyFont="1" applyFill="1"/>
    <xf numFmtId="49" fontId="2" fillId="0" borderId="0" xfId="0" applyNumberFormat="1" applyFont="1" applyFill="1" applyAlignment="1">
      <alignment horizontal="left"/>
    </xf>
    <xf numFmtId="0" fontId="0" fillId="0" borderId="0" xfId="0" applyFont="1" applyFill="1"/>
    <xf numFmtId="49" fontId="0" fillId="0" borderId="0" xfId="0" applyNumberFormat="1" applyFont="1" applyFill="1"/>
    <xf numFmtId="49" fontId="2" fillId="0" borderId="0" xfId="0" applyNumberFormat="1" applyFont="1" applyFill="1" applyBorder="1" applyAlignment="1">
      <alignment horizontal="left"/>
    </xf>
    <xf numFmtId="0" fontId="0" fillId="0" borderId="0" xfId="0" applyAlignment="1">
      <alignment vertical="center" wrapText="1"/>
    </xf>
    <xf numFmtId="49" fontId="0" fillId="2" borderId="0" xfId="0" applyNumberFormat="1" applyFill="1"/>
    <xf numFmtId="49" fontId="3" fillId="0" borderId="0" xfId="0" applyNumberFormat="1" applyFont="1"/>
    <xf numFmtId="14" fontId="1" fillId="0" borderId="0" xfId="0" applyNumberFormat="1" applyFont="1" applyFill="1"/>
    <xf numFmtId="49" fontId="3" fillId="0" borderId="0" xfId="0" applyNumberFormat="1" applyFont="1" applyFill="1"/>
    <xf numFmtId="49" fontId="8" fillId="0" borderId="0" xfId="0" applyNumberFormat="1" applyFont="1"/>
    <xf numFmtId="49" fontId="2" fillId="0" borderId="0" xfId="367" applyNumberFormat="1" applyFont="1" applyAlignment="1">
      <alignment vertical="center"/>
    </xf>
    <xf numFmtId="49" fontId="0" fillId="0" borderId="0" xfId="0" applyNumberFormat="1" applyFont="1" applyFill="1" applyBorder="1"/>
    <xf numFmtId="49" fontId="1" fillId="0" borderId="1" xfId="0" applyNumberFormat="1" applyFont="1" applyBorder="1"/>
    <xf numFmtId="49" fontId="0" fillId="3" borderId="0" xfId="0" applyNumberFormat="1" applyFill="1"/>
    <xf numFmtId="49" fontId="0" fillId="3" borderId="0" xfId="0" applyNumberFormat="1" applyFont="1" applyFill="1"/>
    <xf numFmtId="49" fontId="2" fillId="3" borderId="0" xfId="0" applyNumberFormat="1" applyFont="1" applyFill="1"/>
    <xf numFmtId="49" fontId="4" fillId="0" borderId="0" xfId="0" applyNumberFormat="1" applyFont="1"/>
  </cellXfs>
  <cellStyles count="36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/>
    <cellStyle name="Normal" xfId="0" builtinId="0"/>
  </cellStyles>
  <dxfs count="23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0000"/>
      <color rgb="FFFF66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6.4994298126527933E-2"/>
          <c:y val="0.14497185306587801"/>
          <c:w val="0.89250230790115703"/>
          <c:h val="0.80014875120248063"/>
        </c:manualLayout>
      </c:layout>
      <c:scatterChart>
        <c:scatterStyle val="lineMarker"/>
        <c:varyColors val="0"/>
        <c:ser>
          <c:idx val="0"/>
          <c:order val="0"/>
          <c:tx>
            <c:v>Males</c:v>
          </c:tx>
          <c:spPr>
            <a:ln w="19050"/>
          </c:spPr>
          <c:marker>
            <c:symbol val="diamond"/>
            <c:size val="4"/>
          </c:marker>
          <c:xVal>
            <c:numRef>
              <c:f>'2020-2021'!$G$2:$BO$2</c:f>
              <c:numCache>
                <c:formatCode>m/d/yyyy</c:formatCode>
                <c:ptCount val="6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</c:numCache>
            </c:numRef>
          </c:xVal>
          <c:yVal>
            <c:numRef>
              <c:f>'2020-2021'!$G$1:$BO$1</c:f>
              <c:numCache>
                <c:formatCode>@</c:formatCode>
                <c:ptCount val="61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7</c:v>
                </c:pt>
                <c:pt idx="10">
                  <c:v>6</c:v>
                </c:pt>
                <c:pt idx="11">
                  <c:v>7</c:v>
                </c:pt>
                <c:pt idx="12">
                  <c:v>9</c:v>
                </c:pt>
                <c:pt idx="13">
                  <c:v>12</c:v>
                </c:pt>
                <c:pt idx="14">
                  <c:v>13</c:v>
                </c:pt>
                <c:pt idx="15">
                  <c:v>12</c:v>
                </c:pt>
                <c:pt idx="16">
                  <c:v>14</c:v>
                </c:pt>
                <c:pt idx="17">
                  <c:v>18</c:v>
                </c:pt>
                <c:pt idx="18">
                  <c:v>21</c:v>
                </c:pt>
                <c:pt idx="19">
                  <c:v>23</c:v>
                </c:pt>
                <c:pt idx="20">
                  <c:v>22</c:v>
                </c:pt>
                <c:pt idx="21">
                  <c:v>26</c:v>
                </c:pt>
                <c:pt idx="22">
                  <c:v>26</c:v>
                </c:pt>
                <c:pt idx="23">
                  <c:v>27</c:v>
                </c:pt>
                <c:pt idx="24">
                  <c:v>27</c:v>
                </c:pt>
                <c:pt idx="25">
                  <c:v>28</c:v>
                </c:pt>
                <c:pt idx="26">
                  <c:v>28</c:v>
                </c:pt>
                <c:pt idx="27">
                  <c:v>26</c:v>
                </c:pt>
                <c:pt idx="28">
                  <c:v>26</c:v>
                </c:pt>
                <c:pt idx="29">
                  <c:v>26</c:v>
                </c:pt>
                <c:pt idx="30">
                  <c:v>29</c:v>
                </c:pt>
                <c:pt idx="31">
                  <c:v>29</c:v>
                </c:pt>
                <c:pt idx="32">
                  <c:v>30</c:v>
                </c:pt>
                <c:pt idx="33">
                  <c:v>29</c:v>
                </c:pt>
                <c:pt idx="34">
                  <c:v>28</c:v>
                </c:pt>
                <c:pt idx="35">
                  <c:v>28</c:v>
                </c:pt>
                <c:pt idx="36">
                  <c:v>28</c:v>
                </c:pt>
                <c:pt idx="37">
                  <c:v>31</c:v>
                </c:pt>
                <c:pt idx="38">
                  <c:v>31</c:v>
                </c:pt>
                <c:pt idx="39">
                  <c:v>32</c:v>
                </c:pt>
                <c:pt idx="40">
                  <c:v>29</c:v>
                </c:pt>
                <c:pt idx="41">
                  <c:v>27</c:v>
                </c:pt>
                <c:pt idx="42">
                  <c:v>26</c:v>
                </c:pt>
                <c:pt idx="43">
                  <c:v>28</c:v>
                </c:pt>
                <c:pt idx="44">
                  <c:v>27</c:v>
                </c:pt>
                <c:pt idx="45">
                  <c:v>25</c:v>
                </c:pt>
                <c:pt idx="46">
                  <c:v>23</c:v>
                </c:pt>
                <c:pt idx="47">
                  <c:v>26</c:v>
                </c:pt>
                <c:pt idx="48">
                  <c:v>27</c:v>
                </c:pt>
                <c:pt idx="49">
                  <c:v>24</c:v>
                </c:pt>
                <c:pt idx="50">
                  <c:v>23</c:v>
                </c:pt>
                <c:pt idx="51">
                  <c:v>24</c:v>
                </c:pt>
                <c:pt idx="52">
                  <c:v>25</c:v>
                </c:pt>
                <c:pt idx="53">
                  <c:v>21</c:v>
                </c:pt>
                <c:pt idx="54">
                  <c:v>21</c:v>
                </c:pt>
                <c:pt idx="55">
                  <c:v>22</c:v>
                </c:pt>
                <c:pt idx="56">
                  <c:v>20</c:v>
                </c:pt>
                <c:pt idx="57">
                  <c:v>21</c:v>
                </c:pt>
                <c:pt idx="58">
                  <c:v>18</c:v>
                </c:pt>
                <c:pt idx="59">
                  <c:v>18</c:v>
                </c:pt>
                <c:pt idx="60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7F-462C-B3FB-288044C2A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51712"/>
        <c:axId val="49654016"/>
      </c:scatterChart>
      <c:valAx>
        <c:axId val="49651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Date</a:t>
                </a:r>
              </a:p>
            </c:rich>
          </c:tx>
          <c:overlay val="0"/>
        </c:title>
        <c:numFmt formatCode="m/d/yyyy" sourceLinked="1"/>
        <c:majorTickMark val="none"/>
        <c:minorTickMark val="none"/>
        <c:tickLblPos val="nextTo"/>
        <c:crossAx val="49654016"/>
        <c:crosses val="autoZero"/>
        <c:crossBetween val="midCat"/>
        <c:majorUnit val="10"/>
      </c:valAx>
      <c:valAx>
        <c:axId val="496540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Frequency</a:t>
                </a:r>
              </a:p>
            </c:rich>
          </c:tx>
          <c:overlay val="0"/>
        </c:title>
        <c:numFmt formatCode="@" sourceLinked="1"/>
        <c:majorTickMark val="none"/>
        <c:minorTickMark val="none"/>
        <c:tickLblPos val="nextTo"/>
        <c:crossAx val="49651712"/>
        <c:crosses val="autoZero"/>
        <c:crossBetween val="midCat"/>
      </c:valAx>
    </c:plotArea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3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3321" cy="60490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H1048574"/>
  <sheetViews>
    <sheetView tabSelected="1" workbookViewId="0">
      <pane xSplit="6" ySplit="2" topLeftCell="U3" activePane="bottomRight" state="frozen"/>
      <selection pane="topRight" activeCell="G1" sqref="G1"/>
      <selection pane="bottomLeft" activeCell="A3" sqref="A3"/>
      <selection pane="bottomRight" activeCell="V9" sqref="V9"/>
    </sheetView>
  </sheetViews>
  <sheetFormatPr defaultColWidth="8.85546875" defaultRowHeight="12.75" x14ac:dyDescent="0.2"/>
  <cols>
    <col min="1" max="1" width="19.85546875" style="34" bestFit="1" customWidth="1"/>
    <col min="2" max="2" width="12.85546875" style="28" customWidth="1"/>
    <col min="3" max="3" width="11.140625" style="1" customWidth="1"/>
    <col min="4" max="4" width="68.85546875" style="2" customWidth="1"/>
    <col min="5" max="5" width="11.7109375" style="1" bestFit="1" customWidth="1"/>
    <col min="6" max="6" width="15.5703125" style="1" bestFit="1" customWidth="1"/>
    <col min="7" max="7" width="11.42578125" style="1" customWidth="1"/>
    <col min="8" max="8" width="10.5703125" style="1" bestFit="1" customWidth="1"/>
    <col min="9" max="35" width="10.28515625" style="1" bestFit="1" customWidth="1"/>
    <col min="36" max="36" width="10" style="1" customWidth="1"/>
    <col min="37" max="37" width="10.7109375" style="1" customWidth="1"/>
    <col min="38" max="38" width="11.42578125" style="1" customWidth="1"/>
    <col min="39" max="39" width="11" style="1" customWidth="1"/>
    <col min="40" max="40" width="11.28515625" style="1" customWidth="1"/>
    <col min="41" max="41" width="11.42578125" style="1" customWidth="1"/>
    <col min="42" max="42" width="12.28515625" style="1" customWidth="1"/>
    <col min="43" max="43" width="11.85546875" style="28" customWidth="1"/>
    <col min="44" max="44" width="11.140625" style="1" customWidth="1"/>
    <col min="45" max="45" width="12.85546875" style="1" customWidth="1"/>
    <col min="46" max="46" width="11.42578125" style="1" customWidth="1"/>
    <col min="47" max="47" width="11.28515625" style="1" customWidth="1"/>
    <col min="48" max="48" width="12.42578125" style="1" customWidth="1"/>
    <col min="49" max="49" width="10.28515625" style="1" bestFit="1" customWidth="1"/>
    <col min="50" max="50" width="12.140625" style="1" customWidth="1"/>
    <col min="51" max="51" width="12" style="1" customWidth="1"/>
    <col min="52" max="52" width="13.85546875" style="1" customWidth="1"/>
    <col min="53" max="53" width="10.28515625" style="1" bestFit="1" customWidth="1"/>
    <col min="54" max="54" width="11.42578125" style="1" customWidth="1"/>
    <col min="55" max="55" width="13.42578125" style="1" customWidth="1"/>
    <col min="56" max="56" width="10.28515625" style="1" bestFit="1" customWidth="1"/>
    <col min="57" max="57" width="11.85546875" style="1" customWidth="1"/>
    <col min="58" max="58" width="12.42578125" style="1" customWidth="1"/>
    <col min="59" max="60" width="10.5703125" style="1" bestFit="1" customWidth="1"/>
    <col min="61" max="61" width="12.140625" style="1" bestFit="1" customWidth="1"/>
    <col min="62" max="62" width="10.5703125" style="1" bestFit="1" customWidth="1"/>
    <col min="63" max="63" width="11.85546875" style="1" customWidth="1"/>
    <col min="64" max="64" width="12.85546875" style="1" customWidth="1"/>
    <col min="65" max="65" width="15.42578125" style="1" customWidth="1"/>
    <col min="66" max="66" width="14.28515625" style="1" customWidth="1"/>
    <col min="67" max="67" width="12.42578125" style="1" customWidth="1"/>
    <col min="68" max="72" width="10.140625" style="1" bestFit="1" customWidth="1"/>
    <col min="73" max="77" width="10.42578125" style="1" bestFit="1" customWidth="1"/>
    <col min="78" max="16384" width="8.85546875" style="1"/>
  </cols>
  <sheetData>
    <row r="1" spans="1:77" ht="15" x14ac:dyDescent="0.25">
      <c r="D1" s="48" t="s">
        <v>5</v>
      </c>
      <c r="E1" s="48"/>
      <c r="F1" s="48"/>
      <c r="G1" s="38">
        <f t="shared" ref="G1:AL1" si="0">COUNTA(G3:G260)-COUNTIF(G3:G260,"IT")</f>
        <v>1</v>
      </c>
      <c r="H1" s="38">
        <f t="shared" si="0"/>
        <v>1</v>
      </c>
      <c r="I1" s="38">
        <f t="shared" si="0"/>
        <v>0</v>
      </c>
      <c r="J1" s="38">
        <f t="shared" si="0"/>
        <v>1</v>
      </c>
      <c r="K1" s="38">
        <f t="shared" si="0"/>
        <v>4</v>
      </c>
      <c r="L1" s="38">
        <f t="shared" si="0"/>
        <v>4</v>
      </c>
      <c r="M1" s="38">
        <f t="shared" si="0"/>
        <v>5</v>
      </c>
      <c r="N1" s="38">
        <f t="shared" si="0"/>
        <v>6</v>
      </c>
      <c r="O1" s="38">
        <f t="shared" si="0"/>
        <v>5</v>
      </c>
      <c r="P1" s="38">
        <f t="shared" si="0"/>
        <v>7</v>
      </c>
      <c r="Q1" s="38">
        <f t="shared" si="0"/>
        <v>6</v>
      </c>
      <c r="R1" s="38">
        <f t="shared" si="0"/>
        <v>7</v>
      </c>
      <c r="S1" s="38">
        <f t="shared" si="0"/>
        <v>9</v>
      </c>
      <c r="T1" s="38">
        <f t="shared" si="0"/>
        <v>12</v>
      </c>
      <c r="U1" s="38">
        <f t="shared" si="0"/>
        <v>13</v>
      </c>
      <c r="V1" s="38">
        <f t="shared" si="0"/>
        <v>12</v>
      </c>
      <c r="W1" s="38">
        <f t="shared" si="0"/>
        <v>14</v>
      </c>
      <c r="X1" s="38">
        <f t="shared" si="0"/>
        <v>18</v>
      </c>
      <c r="Y1" s="38">
        <f t="shared" si="0"/>
        <v>21</v>
      </c>
      <c r="Z1" s="38">
        <f t="shared" si="0"/>
        <v>23</v>
      </c>
      <c r="AA1" s="38">
        <f t="shared" si="0"/>
        <v>22</v>
      </c>
      <c r="AB1" s="38">
        <f t="shared" si="0"/>
        <v>26</v>
      </c>
      <c r="AC1" s="38">
        <f t="shared" si="0"/>
        <v>26</v>
      </c>
      <c r="AD1" s="38">
        <f t="shared" si="0"/>
        <v>27</v>
      </c>
      <c r="AE1" s="38">
        <f t="shared" si="0"/>
        <v>27</v>
      </c>
      <c r="AF1" s="38">
        <f t="shared" si="0"/>
        <v>28</v>
      </c>
      <c r="AG1" s="38">
        <f t="shared" si="0"/>
        <v>28</v>
      </c>
      <c r="AH1" s="38">
        <f t="shared" si="0"/>
        <v>26</v>
      </c>
      <c r="AI1" s="38">
        <f t="shared" si="0"/>
        <v>26</v>
      </c>
      <c r="AJ1" s="38">
        <f t="shared" si="0"/>
        <v>26</v>
      </c>
      <c r="AK1" s="38">
        <f t="shared" si="0"/>
        <v>29</v>
      </c>
      <c r="AL1" s="38">
        <f t="shared" si="0"/>
        <v>29</v>
      </c>
      <c r="AM1" s="38">
        <f t="shared" ref="AM1:BR1" si="1">COUNTA(AM3:AM260)-COUNTIF(AM3:AM260,"IT")</f>
        <v>30</v>
      </c>
      <c r="AN1" s="38">
        <f t="shared" si="1"/>
        <v>29</v>
      </c>
      <c r="AO1" s="38">
        <f t="shared" si="1"/>
        <v>28</v>
      </c>
      <c r="AP1" s="38">
        <f t="shared" si="1"/>
        <v>28</v>
      </c>
      <c r="AQ1" s="40">
        <f t="shared" si="1"/>
        <v>28</v>
      </c>
      <c r="AR1" s="38">
        <f t="shared" si="1"/>
        <v>31</v>
      </c>
      <c r="AS1" s="38">
        <f t="shared" si="1"/>
        <v>31</v>
      </c>
      <c r="AT1" s="38">
        <f t="shared" si="1"/>
        <v>32</v>
      </c>
      <c r="AU1" s="38">
        <f t="shared" si="1"/>
        <v>29</v>
      </c>
      <c r="AV1" s="38">
        <f t="shared" si="1"/>
        <v>27</v>
      </c>
      <c r="AW1" s="38">
        <f t="shared" si="1"/>
        <v>26</v>
      </c>
      <c r="AX1" s="38">
        <f t="shared" si="1"/>
        <v>28</v>
      </c>
      <c r="AY1" s="38">
        <f t="shared" si="1"/>
        <v>27</v>
      </c>
      <c r="AZ1" s="38">
        <f t="shared" si="1"/>
        <v>25</v>
      </c>
      <c r="BA1" s="38">
        <f t="shared" si="1"/>
        <v>23</v>
      </c>
      <c r="BB1" s="38">
        <f t="shared" si="1"/>
        <v>26</v>
      </c>
      <c r="BC1" s="38">
        <f t="shared" si="1"/>
        <v>27</v>
      </c>
      <c r="BD1" s="38">
        <f t="shared" si="1"/>
        <v>24</v>
      </c>
      <c r="BE1" s="38">
        <f t="shared" si="1"/>
        <v>23</v>
      </c>
      <c r="BF1" s="38">
        <f t="shared" si="1"/>
        <v>24</v>
      </c>
      <c r="BG1" s="38">
        <f t="shared" si="1"/>
        <v>25</v>
      </c>
      <c r="BH1" s="38">
        <f t="shared" si="1"/>
        <v>21</v>
      </c>
      <c r="BI1" s="38">
        <f t="shared" si="1"/>
        <v>21</v>
      </c>
      <c r="BJ1" s="38">
        <f t="shared" si="1"/>
        <v>22</v>
      </c>
      <c r="BK1" s="38">
        <f t="shared" si="1"/>
        <v>20</v>
      </c>
      <c r="BL1" s="38">
        <f t="shared" si="1"/>
        <v>21</v>
      </c>
      <c r="BM1" s="38">
        <f t="shared" si="1"/>
        <v>18</v>
      </c>
      <c r="BN1" s="38">
        <f t="shared" si="1"/>
        <v>18</v>
      </c>
      <c r="BO1" s="38">
        <f t="shared" si="1"/>
        <v>16</v>
      </c>
      <c r="BP1" s="38">
        <f t="shared" si="1"/>
        <v>0</v>
      </c>
      <c r="BQ1" s="38">
        <f t="shared" si="1"/>
        <v>0</v>
      </c>
      <c r="BR1" s="38">
        <f t="shared" si="1"/>
        <v>0</v>
      </c>
      <c r="BS1" s="38">
        <f t="shared" ref="BS1:BY1" si="2">COUNTA(BS3:BS260)-COUNTIF(BS3:BS260,"IT")</f>
        <v>0</v>
      </c>
      <c r="BT1" s="38">
        <f t="shared" si="2"/>
        <v>0</v>
      </c>
      <c r="BU1" s="38">
        <f t="shared" si="2"/>
        <v>0</v>
      </c>
      <c r="BV1" s="38">
        <f t="shared" si="2"/>
        <v>0</v>
      </c>
      <c r="BW1" s="38">
        <f t="shared" si="2"/>
        <v>0</v>
      </c>
      <c r="BX1" s="38">
        <f t="shared" si="2"/>
        <v>0</v>
      </c>
      <c r="BY1" s="38">
        <f t="shared" si="2"/>
        <v>0</v>
      </c>
    </row>
    <row r="2" spans="1:77" s="39" customFormat="1" x14ac:dyDescent="0.2">
      <c r="A2" s="39" t="s">
        <v>3</v>
      </c>
      <c r="B2" s="39" t="s">
        <v>7</v>
      </c>
      <c r="C2" s="39" t="s">
        <v>2</v>
      </c>
      <c r="D2" s="39" t="s">
        <v>6</v>
      </c>
      <c r="E2" s="39" t="s">
        <v>0</v>
      </c>
      <c r="F2" s="39" t="s">
        <v>1</v>
      </c>
      <c r="G2" s="39">
        <v>44136</v>
      </c>
      <c r="H2" s="39">
        <v>44137</v>
      </c>
      <c r="I2" s="39">
        <v>44138</v>
      </c>
      <c r="J2" s="39">
        <v>44139</v>
      </c>
      <c r="K2" s="39">
        <v>44140</v>
      </c>
      <c r="L2" s="39">
        <v>44141</v>
      </c>
      <c r="M2" s="39">
        <v>44142</v>
      </c>
      <c r="N2" s="39">
        <v>44143</v>
      </c>
      <c r="O2" s="39">
        <v>44144</v>
      </c>
      <c r="P2" s="39">
        <v>44145</v>
      </c>
      <c r="Q2" s="39">
        <v>44146</v>
      </c>
      <c r="R2" s="39">
        <v>44147</v>
      </c>
      <c r="S2" s="39">
        <v>44148</v>
      </c>
      <c r="T2" s="39">
        <v>44149</v>
      </c>
      <c r="U2" s="39">
        <v>44150</v>
      </c>
      <c r="V2" s="39">
        <v>44151</v>
      </c>
      <c r="W2" s="39">
        <v>44152</v>
      </c>
      <c r="X2" s="39">
        <v>44153</v>
      </c>
      <c r="Y2" s="39">
        <v>44154</v>
      </c>
      <c r="Z2" s="39">
        <v>44155</v>
      </c>
      <c r="AA2" s="39">
        <v>44156</v>
      </c>
      <c r="AB2" s="39">
        <v>44157</v>
      </c>
      <c r="AC2" s="39">
        <v>44158</v>
      </c>
      <c r="AD2" s="39">
        <v>44159</v>
      </c>
      <c r="AE2" s="39">
        <v>44160</v>
      </c>
      <c r="AF2" s="39">
        <v>44161</v>
      </c>
      <c r="AG2" s="39">
        <v>44162</v>
      </c>
      <c r="AH2" s="39">
        <v>44163</v>
      </c>
      <c r="AI2" s="39">
        <v>44164</v>
      </c>
      <c r="AJ2" s="39">
        <v>44165</v>
      </c>
      <c r="AK2" s="39">
        <v>44166</v>
      </c>
      <c r="AL2" s="39">
        <v>44167</v>
      </c>
      <c r="AM2" s="39">
        <v>44168</v>
      </c>
      <c r="AN2" s="39">
        <v>44169</v>
      </c>
      <c r="AO2" s="39">
        <v>44170</v>
      </c>
      <c r="AP2" s="39">
        <v>44171</v>
      </c>
      <c r="AQ2" s="39">
        <v>44172</v>
      </c>
      <c r="AR2" s="39">
        <v>44173</v>
      </c>
      <c r="AS2" s="39">
        <v>44174</v>
      </c>
      <c r="AT2" s="39">
        <v>44175</v>
      </c>
      <c r="AU2" s="39">
        <v>44176</v>
      </c>
      <c r="AV2" s="39">
        <v>44177</v>
      </c>
      <c r="AW2" s="39">
        <v>44178</v>
      </c>
      <c r="AX2" s="39">
        <v>44179</v>
      </c>
      <c r="AY2" s="39">
        <v>44180</v>
      </c>
      <c r="AZ2" s="39">
        <v>44181</v>
      </c>
      <c r="BA2" s="39">
        <v>44182</v>
      </c>
      <c r="BB2" s="39">
        <v>44183</v>
      </c>
      <c r="BC2" s="39">
        <v>44184</v>
      </c>
      <c r="BD2" s="39">
        <v>44185</v>
      </c>
      <c r="BE2" s="39">
        <v>44186</v>
      </c>
      <c r="BF2" s="39">
        <v>44187</v>
      </c>
      <c r="BG2" s="39">
        <v>44188</v>
      </c>
      <c r="BH2" s="39">
        <v>44189</v>
      </c>
      <c r="BI2" s="39">
        <v>44190</v>
      </c>
      <c r="BJ2" s="39">
        <v>44191</v>
      </c>
      <c r="BK2" s="39">
        <v>44192</v>
      </c>
      <c r="BL2" s="39">
        <v>44193</v>
      </c>
      <c r="BM2" s="39">
        <v>44194</v>
      </c>
      <c r="BN2" s="39">
        <v>44195</v>
      </c>
      <c r="BO2" s="39">
        <v>44196</v>
      </c>
      <c r="BP2" s="39">
        <v>44197</v>
      </c>
      <c r="BQ2" s="39">
        <v>44198</v>
      </c>
      <c r="BR2" s="39">
        <v>44199</v>
      </c>
      <c r="BS2" s="39">
        <v>44200</v>
      </c>
      <c r="BT2" s="39">
        <v>44201</v>
      </c>
      <c r="BU2" s="39">
        <v>44202</v>
      </c>
      <c r="BV2" s="39">
        <v>44203</v>
      </c>
      <c r="BW2" s="39">
        <v>44204</v>
      </c>
      <c r="BX2" s="39">
        <v>44205</v>
      </c>
      <c r="BY2" s="39">
        <v>44206</v>
      </c>
    </row>
    <row r="3" spans="1:77" x14ac:dyDescent="0.2">
      <c r="A3" s="1"/>
      <c r="B3" s="1"/>
      <c r="C3" s="29" t="s">
        <v>402</v>
      </c>
      <c r="D3" s="1" t="s">
        <v>160</v>
      </c>
      <c r="E3" s="2" t="s">
        <v>393</v>
      </c>
      <c r="F3" s="2" t="s">
        <v>8</v>
      </c>
      <c r="G3" s="1" t="s">
        <v>170</v>
      </c>
      <c r="H3" s="1" t="s">
        <v>171</v>
      </c>
      <c r="J3" s="1" t="s">
        <v>172</v>
      </c>
      <c r="K3" s="1" t="s">
        <v>173</v>
      </c>
      <c r="L3" s="1" t="s">
        <v>177</v>
      </c>
      <c r="M3" s="1" t="s">
        <v>181</v>
      </c>
      <c r="N3" s="1" t="s">
        <v>186</v>
      </c>
      <c r="O3" s="1" t="s">
        <v>191</v>
      </c>
      <c r="P3" s="1" t="s">
        <v>192</v>
      </c>
      <c r="Q3" s="1" t="s">
        <v>176</v>
      </c>
      <c r="R3" s="1" t="s">
        <v>177</v>
      </c>
      <c r="S3" s="1" t="s">
        <v>204</v>
      </c>
      <c r="T3" s="1" t="s">
        <v>207</v>
      </c>
      <c r="U3" s="1" t="s">
        <v>223</v>
      </c>
      <c r="V3" s="1" t="s">
        <v>225</v>
      </c>
      <c r="W3" s="2" t="s">
        <v>231</v>
      </c>
      <c r="X3" s="2" t="s">
        <v>242</v>
      </c>
      <c r="Y3" s="2" t="s">
        <v>254</v>
      </c>
      <c r="Z3" s="2" t="s">
        <v>231</v>
      </c>
      <c r="AA3" s="2" t="s">
        <v>276</v>
      </c>
      <c r="AB3" s="2" t="s">
        <v>231</v>
      </c>
      <c r="AC3" s="2" t="s">
        <v>325</v>
      </c>
      <c r="AD3" s="1" t="s">
        <v>292</v>
      </c>
      <c r="AE3" s="1" t="s">
        <v>292</v>
      </c>
      <c r="AF3" s="1" t="s">
        <v>332</v>
      </c>
      <c r="AG3" s="1" t="s">
        <v>292</v>
      </c>
    </row>
    <row r="4" spans="1:77" x14ac:dyDescent="0.2">
      <c r="A4" s="1"/>
      <c r="B4" s="1"/>
      <c r="C4" s="29" t="s">
        <v>403</v>
      </c>
      <c r="D4" s="2" t="s">
        <v>265</v>
      </c>
      <c r="E4" s="2" t="s">
        <v>393</v>
      </c>
      <c r="F4" s="2" t="s">
        <v>404</v>
      </c>
      <c r="K4" s="1" t="s">
        <v>174</v>
      </c>
      <c r="L4" s="1" t="s">
        <v>178</v>
      </c>
      <c r="M4" s="1" t="s">
        <v>182</v>
      </c>
      <c r="N4" s="1" t="s">
        <v>187</v>
      </c>
      <c r="P4" s="1" t="s">
        <v>194</v>
      </c>
      <c r="Q4" s="1" t="s">
        <v>198</v>
      </c>
      <c r="S4" s="1" t="s">
        <v>205</v>
      </c>
      <c r="T4" s="1" t="s">
        <v>212</v>
      </c>
      <c r="U4" s="1" t="s">
        <v>220</v>
      </c>
      <c r="V4" s="1" t="s">
        <v>212</v>
      </c>
      <c r="W4" s="2" t="s">
        <v>232</v>
      </c>
      <c r="X4" s="2" t="s">
        <v>220</v>
      </c>
      <c r="Y4" s="2" t="s">
        <v>252</v>
      </c>
      <c r="Z4" s="2" t="s">
        <v>220</v>
      </c>
      <c r="AA4" s="2" t="s">
        <v>178</v>
      </c>
      <c r="AB4" s="2" t="s">
        <v>220</v>
      </c>
      <c r="AC4" s="1" t="s">
        <v>182</v>
      </c>
      <c r="AD4" s="1" t="s">
        <v>205</v>
      </c>
      <c r="AE4" s="1" t="s">
        <v>317</v>
      </c>
      <c r="AF4" s="1" t="s">
        <v>182</v>
      </c>
      <c r="AG4" s="1" t="s">
        <v>252</v>
      </c>
      <c r="AH4" s="1" t="s">
        <v>349</v>
      </c>
      <c r="AI4" s="2" t="s">
        <v>205</v>
      </c>
      <c r="AJ4" s="2" t="s">
        <v>205</v>
      </c>
      <c r="AK4" s="2" t="s">
        <v>205</v>
      </c>
      <c r="AL4" s="2" t="s">
        <v>205</v>
      </c>
      <c r="AM4" s="2" t="s">
        <v>205</v>
      </c>
      <c r="AN4" s="1" t="s">
        <v>182</v>
      </c>
      <c r="AO4" s="1" t="s">
        <v>205</v>
      </c>
      <c r="AP4" s="1" t="s">
        <v>212</v>
      </c>
      <c r="AQ4" s="28" t="s">
        <v>205</v>
      </c>
      <c r="AR4" s="1" t="s">
        <v>317</v>
      </c>
      <c r="AS4" s="1" t="s">
        <v>565</v>
      </c>
      <c r="AT4" s="1" t="s">
        <v>194</v>
      </c>
      <c r="AU4" s="1" t="s">
        <v>594</v>
      </c>
    </row>
    <row r="5" spans="1:77" x14ac:dyDescent="0.2">
      <c r="A5" s="1"/>
      <c r="B5" s="2"/>
      <c r="C5" s="29"/>
      <c r="D5" s="2" t="s">
        <v>161</v>
      </c>
      <c r="E5" s="2" t="s">
        <v>393</v>
      </c>
      <c r="F5" s="1" t="s">
        <v>149</v>
      </c>
      <c r="K5" s="1" t="s">
        <v>175</v>
      </c>
      <c r="L5" s="1" t="s">
        <v>179</v>
      </c>
      <c r="M5" s="1" t="s">
        <v>183</v>
      </c>
      <c r="AC5" s="2"/>
    </row>
    <row r="6" spans="1:77" x14ac:dyDescent="0.2">
      <c r="A6" s="1"/>
      <c r="B6" s="1"/>
      <c r="C6" s="29"/>
      <c r="D6" s="2" t="s">
        <v>162</v>
      </c>
      <c r="E6" s="2" t="s">
        <v>10</v>
      </c>
      <c r="F6" s="1" t="s">
        <v>149</v>
      </c>
      <c r="K6" s="1" t="s">
        <v>176</v>
      </c>
      <c r="L6" s="1" t="s">
        <v>180</v>
      </c>
      <c r="M6" s="1" t="s">
        <v>184</v>
      </c>
      <c r="N6" s="1" t="s">
        <v>188</v>
      </c>
      <c r="O6" s="1" t="s">
        <v>184</v>
      </c>
      <c r="P6" s="1" t="s">
        <v>196</v>
      </c>
      <c r="AC6" s="2"/>
      <c r="AE6" s="1" t="s">
        <v>178</v>
      </c>
      <c r="AF6" s="1" t="s">
        <v>178</v>
      </c>
      <c r="AG6" s="1" t="s">
        <v>178</v>
      </c>
      <c r="AL6" s="2" t="s">
        <v>469</v>
      </c>
    </row>
    <row r="7" spans="1:77" x14ac:dyDescent="0.2">
      <c r="A7" s="1"/>
      <c r="B7" s="1"/>
      <c r="C7" s="29" t="s">
        <v>405</v>
      </c>
      <c r="D7" s="2" t="s">
        <v>163</v>
      </c>
      <c r="E7" s="2" t="s">
        <v>393</v>
      </c>
      <c r="F7" s="2" t="s">
        <v>404</v>
      </c>
      <c r="N7" s="1" t="s">
        <v>189</v>
      </c>
      <c r="O7" s="2" t="s">
        <v>187</v>
      </c>
      <c r="P7" s="1" t="s">
        <v>195</v>
      </c>
      <c r="Q7" s="1" t="s">
        <v>189</v>
      </c>
      <c r="R7" s="1" t="s">
        <v>200</v>
      </c>
      <c r="S7" s="1" t="s">
        <v>206</v>
      </c>
      <c r="T7" s="1" t="s">
        <v>187</v>
      </c>
      <c r="U7" s="1" t="s">
        <v>219</v>
      </c>
      <c r="V7" s="1" t="s">
        <v>228</v>
      </c>
      <c r="W7" s="2" t="s">
        <v>237</v>
      </c>
      <c r="X7" s="2" t="s">
        <v>189</v>
      </c>
      <c r="Y7" s="2" t="s">
        <v>187</v>
      </c>
      <c r="Z7" s="2" t="s">
        <v>271</v>
      </c>
      <c r="AA7" s="2" t="s">
        <v>272</v>
      </c>
      <c r="AB7" s="2" t="s">
        <v>284</v>
      </c>
      <c r="AC7" s="2" t="s">
        <v>187</v>
      </c>
      <c r="AD7" s="1" t="s">
        <v>179</v>
      </c>
      <c r="AE7" s="1" t="s">
        <v>320</v>
      </c>
      <c r="AF7" s="1" t="s">
        <v>183</v>
      </c>
      <c r="AG7" s="1" t="s">
        <v>342</v>
      </c>
      <c r="AH7" s="1" t="s">
        <v>206</v>
      </c>
      <c r="AI7" s="2" t="s">
        <v>237</v>
      </c>
      <c r="AJ7" s="2" t="s">
        <v>329</v>
      </c>
      <c r="AK7" s="2" t="s">
        <v>387</v>
      </c>
      <c r="AL7" s="2" t="s">
        <v>342</v>
      </c>
      <c r="AM7" s="2" t="s">
        <v>401</v>
      </c>
      <c r="AN7" s="1" t="s">
        <v>272</v>
      </c>
      <c r="AO7" s="1" t="s">
        <v>272</v>
      </c>
      <c r="AP7" s="1" t="s">
        <v>401</v>
      </c>
      <c r="AQ7" s="28" t="s">
        <v>401</v>
      </c>
      <c r="AR7" s="1" t="s">
        <v>320</v>
      </c>
      <c r="AS7" s="1" t="s">
        <v>566</v>
      </c>
      <c r="AT7" s="1" t="s">
        <v>401</v>
      </c>
      <c r="AU7" s="1" t="s">
        <v>476</v>
      </c>
      <c r="AV7" s="1" t="s">
        <v>604</v>
      </c>
      <c r="AW7" s="1" t="s">
        <v>476</v>
      </c>
      <c r="AX7" s="1" t="s">
        <v>208</v>
      </c>
      <c r="AY7" s="1" t="s">
        <v>640</v>
      </c>
      <c r="AZ7" s="1">
        <v>1010</v>
      </c>
      <c r="BA7" s="1">
        <v>1210</v>
      </c>
      <c r="BB7" s="1">
        <v>1010</v>
      </c>
      <c r="BC7" s="1">
        <v>1211</v>
      </c>
      <c r="BD7" s="1">
        <v>1110</v>
      </c>
      <c r="BE7" s="1">
        <v>1213</v>
      </c>
      <c r="BF7" s="1">
        <v>1110</v>
      </c>
      <c r="BG7" s="1">
        <v>1314</v>
      </c>
      <c r="BJ7" s="1">
        <v>1212</v>
      </c>
      <c r="BK7" s="1">
        <v>1212</v>
      </c>
      <c r="BL7" s="1" t="s">
        <v>208</v>
      </c>
      <c r="BM7" s="1" t="s">
        <v>511</v>
      </c>
      <c r="BN7" s="1" t="s">
        <v>596</v>
      </c>
    </row>
    <row r="8" spans="1:77" ht="11.25" customHeight="1" x14ac:dyDescent="0.2">
      <c r="A8" s="1"/>
      <c r="B8" s="2" t="s">
        <v>355</v>
      </c>
      <c r="C8" s="29" t="s">
        <v>406</v>
      </c>
      <c r="D8" s="2" t="s">
        <v>164</v>
      </c>
      <c r="E8" s="2" t="s">
        <v>166</v>
      </c>
      <c r="F8" s="2" t="s">
        <v>404</v>
      </c>
      <c r="N8" s="2" t="s">
        <v>360</v>
      </c>
      <c r="O8" s="2" t="s">
        <v>361</v>
      </c>
      <c r="P8" s="2" t="s">
        <v>362</v>
      </c>
      <c r="Q8" s="2" t="s">
        <v>363</v>
      </c>
      <c r="R8" s="2" t="s">
        <v>364</v>
      </c>
      <c r="S8" s="2" t="s">
        <v>365</v>
      </c>
      <c r="T8" s="2" t="s">
        <v>363</v>
      </c>
      <c r="U8" s="2" t="s">
        <v>366</v>
      </c>
      <c r="V8" s="2" t="s">
        <v>367</v>
      </c>
      <c r="W8" s="2" t="s">
        <v>364</v>
      </c>
      <c r="X8" s="2" t="s">
        <v>368</v>
      </c>
      <c r="Y8" s="2" t="s">
        <v>368</v>
      </c>
      <c r="Z8" s="2" t="s">
        <v>369</v>
      </c>
      <c r="AA8" s="2" t="s">
        <v>363</v>
      </c>
      <c r="AB8" s="2" t="s">
        <v>370</v>
      </c>
      <c r="AC8" s="2" t="s">
        <v>368</v>
      </c>
      <c r="AD8" s="2" t="s">
        <v>368</v>
      </c>
      <c r="AE8" s="2" t="s">
        <v>545</v>
      </c>
      <c r="AF8" s="2" t="s">
        <v>557</v>
      </c>
      <c r="AG8" s="2" t="s">
        <v>545</v>
      </c>
      <c r="AH8" s="2" t="s">
        <v>545</v>
      </c>
      <c r="AI8" s="2" t="s">
        <v>188</v>
      </c>
      <c r="AJ8" s="2" t="s">
        <v>543</v>
      </c>
      <c r="AK8" s="2" t="s">
        <v>543</v>
      </c>
      <c r="AL8" s="2" t="s">
        <v>545</v>
      </c>
      <c r="AM8" s="2" t="s">
        <v>196</v>
      </c>
      <c r="AN8" s="1" t="s">
        <v>512</v>
      </c>
      <c r="AO8" s="1" t="s">
        <v>196</v>
      </c>
      <c r="AP8" s="1" t="s">
        <v>513</v>
      </c>
      <c r="AR8" s="1" t="s">
        <v>543</v>
      </c>
      <c r="AT8" s="1" t="s">
        <v>543</v>
      </c>
    </row>
    <row r="9" spans="1:77" x14ac:dyDescent="0.2">
      <c r="A9" s="1"/>
      <c r="B9" s="2" t="s">
        <v>356</v>
      </c>
      <c r="C9" s="29" t="s">
        <v>407</v>
      </c>
      <c r="D9" s="2" t="s">
        <v>165</v>
      </c>
      <c r="E9" s="2" t="s">
        <v>10</v>
      </c>
      <c r="F9" s="2" t="s">
        <v>404</v>
      </c>
      <c r="P9" s="2" t="s">
        <v>434</v>
      </c>
      <c r="Q9" s="2" t="s">
        <v>434</v>
      </c>
      <c r="R9" s="2" t="s">
        <v>435</v>
      </c>
      <c r="S9" s="2" t="s">
        <v>436</v>
      </c>
      <c r="T9" s="2" t="s">
        <v>437</v>
      </c>
      <c r="U9" s="2" t="s">
        <v>437</v>
      </c>
      <c r="V9" s="2" t="s">
        <v>436</v>
      </c>
      <c r="W9" s="2" t="s">
        <v>438</v>
      </c>
      <c r="X9" s="2" t="s">
        <v>438</v>
      </c>
      <c r="Y9" s="2" t="s">
        <v>436</v>
      </c>
      <c r="Z9" s="2" t="s">
        <v>439</v>
      </c>
      <c r="AA9" s="2" t="s">
        <v>440</v>
      </c>
      <c r="AB9" s="2" t="s">
        <v>437</v>
      </c>
      <c r="AC9" s="2" t="s">
        <v>437</v>
      </c>
      <c r="AD9" s="2" t="s">
        <v>437</v>
      </c>
      <c r="AE9" s="2" t="s">
        <v>555</v>
      </c>
      <c r="AF9" s="2" t="s">
        <v>478</v>
      </c>
      <c r="AG9" s="2" t="s">
        <v>478</v>
      </c>
      <c r="AH9" s="2" t="s">
        <v>556</v>
      </c>
      <c r="AI9" s="2" t="s">
        <v>509</v>
      </c>
      <c r="AJ9" s="2" t="s">
        <v>555</v>
      </c>
      <c r="AK9" s="2" t="s">
        <v>508</v>
      </c>
      <c r="AL9" s="2" t="s">
        <v>508</v>
      </c>
      <c r="AM9" s="2" t="s">
        <v>478</v>
      </c>
      <c r="AN9" s="1" t="s">
        <v>478</v>
      </c>
      <c r="AO9" s="1" t="s">
        <v>508</v>
      </c>
      <c r="AP9" s="1" t="s">
        <v>509</v>
      </c>
      <c r="AQ9" s="28" t="s">
        <v>509</v>
      </c>
      <c r="AR9" s="1" t="s">
        <v>509</v>
      </c>
      <c r="AS9" s="1" t="s">
        <v>509</v>
      </c>
      <c r="AT9" s="1" t="s">
        <v>509</v>
      </c>
      <c r="AU9" s="1" t="s">
        <v>508</v>
      </c>
      <c r="AV9" s="1" t="s">
        <v>194</v>
      </c>
    </row>
    <row r="10" spans="1:77" x14ac:dyDescent="0.2">
      <c r="A10" s="2"/>
      <c r="B10" s="1" t="s">
        <v>572</v>
      </c>
      <c r="C10" s="29" t="s">
        <v>408</v>
      </c>
      <c r="D10" s="2" t="s">
        <v>378</v>
      </c>
      <c r="E10" s="2" t="s">
        <v>571</v>
      </c>
      <c r="F10" s="2" t="s">
        <v>404</v>
      </c>
      <c r="M10" s="1" t="s">
        <v>185</v>
      </c>
      <c r="N10" s="1" t="s">
        <v>190</v>
      </c>
      <c r="O10" s="1" t="s">
        <v>193</v>
      </c>
      <c r="P10" s="1" t="s">
        <v>197</v>
      </c>
      <c r="Q10" s="1" t="s">
        <v>199</v>
      </c>
      <c r="R10" s="1" t="s">
        <v>193</v>
      </c>
      <c r="S10" s="1" t="s">
        <v>208</v>
      </c>
      <c r="T10" s="1" t="s">
        <v>209</v>
      </c>
      <c r="U10" s="1" t="s">
        <v>216</v>
      </c>
      <c r="V10" s="1" t="s">
        <v>193</v>
      </c>
      <c r="W10" s="2" t="s">
        <v>199</v>
      </c>
      <c r="X10" s="2" t="s">
        <v>240</v>
      </c>
      <c r="Y10" s="2" t="s">
        <v>190</v>
      </c>
      <c r="Z10" s="2" t="s">
        <v>193</v>
      </c>
      <c r="AA10" s="2" t="s">
        <v>270</v>
      </c>
      <c r="AB10" s="2" t="s">
        <v>290</v>
      </c>
      <c r="AC10" s="2" t="s">
        <v>199</v>
      </c>
      <c r="AD10" s="1" t="s">
        <v>308</v>
      </c>
      <c r="AE10" s="1" t="s">
        <v>190</v>
      </c>
      <c r="AF10" s="1" t="s">
        <v>270</v>
      </c>
      <c r="AG10" s="1" t="s">
        <v>199</v>
      </c>
      <c r="AH10" s="1" t="s">
        <v>216</v>
      </c>
      <c r="AI10" s="2" t="s">
        <v>199</v>
      </c>
      <c r="AJ10" s="2" t="s">
        <v>209</v>
      </c>
      <c r="AK10" s="2" t="s">
        <v>386</v>
      </c>
      <c r="AL10" s="2" t="s">
        <v>270</v>
      </c>
      <c r="AM10" s="2" t="s">
        <v>240</v>
      </c>
      <c r="AN10" s="1" t="s">
        <v>197</v>
      </c>
      <c r="AO10" s="1" t="s">
        <v>510</v>
      </c>
      <c r="AP10" s="1" t="s">
        <v>511</v>
      </c>
      <c r="AQ10" s="28" t="s">
        <v>531</v>
      </c>
      <c r="AR10" s="1" t="s">
        <v>476</v>
      </c>
      <c r="AS10" s="1" t="s">
        <v>567</v>
      </c>
      <c r="AT10" s="1" t="s">
        <v>582</v>
      </c>
      <c r="AW10" s="1" t="s">
        <v>567</v>
      </c>
      <c r="AY10" s="1" t="s">
        <v>567</v>
      </c>
      <c r="AZ10" s="2" t="s">
        <v>308</v>
      </c>
      <c r="BA10" s="2" t="s">
        <v>197</v>
      </c>
      <c r="BB10" s="1">
        <v>815</v>
      </c>
    </row>
    <row r="11" spans="1:77" x14ac:dyDescent="0.2">
      <c r="A11" s="1"/>
      <c r="B11" s="2"/>
      <c r="C11" s="29" t="s">
        <v>409</v>
      </c>
      <c r="D11" s="2" t="s">
        <v>168</v>
      </c>
      <c r="E11" s="2" t="s">
        <v>393</v>
      </c>
      <c r="F11" s="2" t="s">
        <v>404</v>
      </c>
      <c r="O11" s="2"/>
      <c r="R11" s="1" t="s">
        <v>203</v>
      </c>
      <c r="S11" s="1" t="s">
        <v>176</v>
      </c>
      <c r="T11" s="1" t="s">
        <v>211</v>
      </c>
      <c r="U11" s="1" t="s">
        <v>222</v>
      </c>
      <c r="V11" s="1" t="s">
        <v>222</v>
      </c>
      <c r="W11" s="2" t="s">
        <v>235</v>
      </c>
      <c r="X11" s="2" t="s">
        <v>241</v>
      </c>
      <c r="Y11" s="2" t="s">
        <v>253</v>
      </c>
      <c r="Z11" s="2" t="s">
        <v>275</v>
      </c>
      <c r="AB11" s="2" t="s">
        <v>229</v>
      </c>
      <c r="AC11" s="2" t="s">
        <v>328</v>
      </c>
      <c r="AD11" s="1" t="s">
        <v>307</v>
      </c>
      <c r="AF11" s="1" t="s">
        <v>340</v>
      </c>
      <c r="AG11" s="1" t="s">
        <v>341</v>
      </c>
      <c r="AH11" s="1" t="s">
        <v>351</v>
      </c>
      <c r="AJ11" s="2" t="s">
        <v>229</v>
      </c>
      <c r="AK11" s="2" t="s">
        <v>307</v>
      </c>
      <c r="AL11" s="2" t="s">
        <v>464</v>
      </c>
      <c r="AM11" s="2" t="s">
        <v>479</v>
      </c>
      <c r="AN11" s="1" t="s">
        <v>501</v>
      </c>
      <c r="AO11" s="1" t="s">
        <v>502</v>
      </c>
      <c r="AP11" s="1" t="s">
        <v>503</v>
      </c>
      <c r="AR11" s="1" t="s">
        <v>544</v>
      </c>
      <c r="AS11" s="1" t="s">
        <v>503</v>
      </c>
      <c r="AT11" s="1" t="s">
        <v>544</v>
      </c>
      <c r="AU11" s="1" t="s">
        <v>464</v>
      </c>
      <c r="AV11" s="1" t="s">
        <v>318</v>
      </c>
      <c r="AW11" s="1" t="s">
        <v>337</v>
      </c>
      <c r="AX11" s="1" t="s">
        <v>174</v>
      </c>
    </row>
    <row r="12" spans="1:77" x14ac:dyDescent="0.2">
      <c r="A12" s="1"/>
      <c r="B12" s="2" t="s">
        <v>357</v>
      </c>
      <c r="C12" s="29" t="s">
        <v>410</v>
      </c>
      <c r="D12" s="2" t="s">
        <v>167</v>
      </c>
      <c r="E12" s="2" t="s">
        <v>393</v>
      </c>
      <c r="F12" s="2" t="s">
        <v>404</v>
      </c>
      <c r="O12" s="2"/>
      <c r="S12" s="2" t="s">
        <v>441</v>
      </c>
      <c r="T12" s="2" t="s">
        <v>442</v>
      </c>
      <c r="U12" s="2" t="s">
        <v>443</v>
      </c>
      <c r="V12" s="2" t="s">
        <v>444</v>
      </c>
      <c r="W12" s="2" t="s">
        <v>445</v>
      </c>
      <c r="X12" s="2" t="s">
        <v>446</v>
      </c>
      <c r="Y12" s="2" t="s">
        <v>447</v>
      </c>
      <c r="Z12" s="2" t="s">
        <v>448</v>
      </c>
      <c r="AA12" s="2" t="s">
        <v>448</v>
      </c>
      <c r="AB12" s="2" t="s">
        <v>442</v>
      </c>
      <c r="AC12" s="2" t="s">
        <v>446</v>
      </c>
      <c r="AD12" s="2" t="s">
        <v>448</v>
      </c>
      <c r="AE12" s="2" t="s">
        <v>203</v>
      </c>
      <c r="AF12" s="2" t="s">
        <v>176</v>
      </c>
      <c r="AG12" s="2" t="s">
        <v>174</v>
      </c>
      <c r="AH12" s="2" t="s">
        <v>203</v>
      </c>
      <c r="AI12" s="2" t="s">
        <v>203</v>
      </c>
      <c r="AJ12" s="2" t="s">
        <v>554</v>
      </c>
      <c r="AK12" s="2" t="s">
        <v>546</v>
      </c>
      <c r="AL12" s="2" t="s">
        <v>506</v>
      </c>
      <c r="AM12" s="2" t="s">
        <v>176</v>
      </c>
      <c r="AN12" s="1" t="s">
        <v>505</v>
      </c>
      <c r="AO12" s="1" t="s">
        <v>506</v>
      </c>
      <c r="AP12" s="1" t="s">
        <v>507</v>
      </c>
      <c r="AQ12" s="28" t="s">
        <v>505</v>
      </c>
      <c r="AR12" s="1" t="s">
        <v>506</v>
      </c>
      <c r="AS12" s="1" t="s">
        <v>505</v>
      </c>
      <c r="AT12" s="1" t="s">
        <v>581</v>
      </c>
      <c r="AU12" s="1" t="s">
        <v>506</v>
      </c>
      <c r="AV12" s="1" t="s">
        <v>507</v>
      </c>
      <c r="AW12" s="1" t="s">
        <v>554</v>
      </c>
      <c r="AX12" s="1" t="s">
        <v>554</v>
      </c>
      <c r="AY12" s="1" t="s">
        <v>639</v>
      </c>
    </row>
    <row r="13" spans="1:77" x14ac:dyDescent="0.2">
      <c r="A13" s="1"/>
      <c r="B13" s="1" t="s">
        <v>573</v>
      </c>
      <c r="C13" s="29" t="s">
        <v>411</v>
      </c>
      <c r="D13" s="2" t="s">
        <v>214</v>
      </c>
      <c r="E13" s="2" t="s">
        <v>169</v>
      </c>
      <c r="F13" s="2" t="s">
        <v>404</v>
      </c>
      <c r="O13" s="2"/>
      <c r="T13" s="1" t="s">
        <v>213</v>
      </c>
      <c r="U13" s="1" t="s">
        <v>221</v>
      </c>
      <c r="V13" s="1" t="s">
        <v>213</v>
      </c>
      <c r="W13" s="2" t="s">
        <v>236</v>
      </c>
      <c r="Y13" s="2" t="s">
        <v>178</v>
      </c>
      <c r="Z13" s="2" t="s">
        <v>221</v>
      </c>
      <c r="AA13" s="2" t="s">
        <v>221</v>
      </c>
      <c r="AB13" s="2" t="s">
        <v>283</v>
      </c>
      <c r="AC13" s="2" t="s">
        <v>312</v>
      </c>
      <c r="AD13" s="1" t="s">
        <v>291</v>
      </c>
      <c r="AE13" s="1" t="s">
        <v>312</v>
      </c>
      <c r="AF13" s="1" t="s">
        <v>330</v>
      </c>
      <c r="AG13" s="1" t="s">
        <v>331</v>
      </c>
      <c r="AH13" s="1" t="s">
        <v>331</v>
      </c>
      <c r="AI13" s="2" t="s">
        <v>291</v>
      </c>
      <c r="AJ13" s="2" t="s">
        <v>331</v>
      </c>
      <c r="AK13" s="2" t="s">
        <v>331</v>
      </c>
      <c r="AL13" s="2" t="s">
        <v>331</v>
      </c>
      <c r="AM13" s="2" t="s">
        <v>291</v>
      </c>
      <c r="AN13" s="1" t="s">
        <v>312</v>
      </c>
      <c r="AO13" s="1" t="s">
        <v>331</v>
      </c>
      <c r="AP13" s="1" t="s">
        <v>331</v>
      </c>
      <c r="AQ13" s="28" t="s">
        <v>524</v>
      </c>
      <c r="AR13" s="1" t="s">
        <v>331</v>
      </c>
      <c r="AS13" s="1" t="s">
        <v>331</v>
      </c>
      <c r="AT13" s="1" t="s">
        <v>578</v>
      </c>
      <c r="AU13" s="1" t="s">
        <v>615</v>
      </c>
      <c r="AV13" s="1" t="s">
        <v>615</v>
      </c>
      <c r="AW13" s="1" t="s">
        <v>615</v>
      </c>
      <c r="AX13" s="1" t="s">
        <v>622</v>
      </c>
      <c r="AY13" s="1" t="s">
        <v>622</v>
      </c>
      <c r="AZ13" s="1">
        <v>1916</v>
      </c>
      <c r="BA13" s="1">
        <v>1915</v>
      </c>
      <c r="BB13" s="1">
        <v>1915</v>
      </c>
      <c r="BC13" s="1">
        <v>1914</v>
      </c>
      <c r="BD13" s="1">
        <v>2015</v>
      </c>
      <c r="BE13" s="1">
        <v>1915</v>
      </c>
    </row>
    <row r="14" spans="1:77" x14ac:dyDescent="0.2">
      <c r="A14" s="1"/>
      <c r="B14" s="2" t="s">
        <v>358</v>
      </c>
      <c r="C14" s="29" t="s">
        <v>412</v>
      </c>
      <c r="D14" s="2" t="s">
        <v>230</v>
      </c>
      <c r="E14" s="2" t="s">
        <v>9</v>
      </c>
      <c r="F14" s="2" t="s">
        <v>8</v>
      </c>
      <c r="O14" s="2"/>
      <c r="T14" s="2" t="s">
        <v>449</v>
      </c>
      <c r="U14" s="2" t="s">
        <v>450</v>
      </c>
      <c r="V14" s="2" t="s">
        <v>451</v>
      </c>
      <c r="W14" s="2" t="s">
        <v>452</v>
      </c>
      <c r="X14" s="2" t="s">
        <v>452</v>
      </c>
      <c r="Y14" s="2" t="s">
        <v>453</v>
      </c>
      <c r="Z14" s="2" t="s">
        <v>454</v>
      </c>
      <c r="AA14" s="2" t="s">
        <v>455</v>
      </c>
      <c r="AB14" s="2" t="s">
        <v>456</v>
      </c>
      <c r="AC14" s="2" t="s">
        <v>457</v>
      </c>
      <c r="AD14" s="2" t="s">
        <v>458</v>
      </c>
      <c r="AE14" s="2" t="s">
        <v>313</v>
      </c>
      <c r="AF14" s="2" t="s">
        <v>553</v>
      </c>
      <c r="AG14" s="2" t="s">
        <v>552</v>
      </c>
      <c r="AH14" s="2" t="s">
        <v>485</v>
      </c>
      <c r="AI14" s="2" t="s">
        <v>551</v>
      </c>
      <c r="AJ14" s="2" t="s">
        <v>494</v>
      </c>
      <c r="AK14" s="2" t="s">
        <v>494</v>
      </c>
      <c r="AL14" s="2" t="s">
        <v>485</v>
      </c>
      <c r="AM14" s="2" t="s">
        <v>485</v>
      </c>
      <c r="AN14" s="1" t="s">
        <v>494</v>
      </c>
      <c r="AO14" s="1" t="s">
        <v>495</v>
      </c>
      <c r="AP14" s="1" t="s">
        <v>494</v>
      </c>
      <c r="AQ14" s="28" t="s">
        <v>494</v>
      </c>
      <c r="AR14" s="1" t="s">
        <v>495</v>
      </c>
      <c r="AS14" s="1" t="s">
        <v>563</v>
      </c>
      <c r="AT14" s="1" t="s">
        <v>485</v>
      </c>
      <c r="AU14" s="1" t="s">
        <v>563</v>
      </c>
      <c r="AV14" s="1" t="s">
        <v>552</v>
      </c>
      <c r="AW14" s="1" t="s">
        <v>552</v>
      </c>
      <c r="AX14" s="1" t="s">
        <v>552</v>
      </c>
      <c r="AZ14" s="1">
        <v>2908</v>
      </c>
    </row>
    <row r="15" spans="1:77" x14ac:dyDescent="0.2">
      <c r="A15" s="1"/>
      <c r="B15" s="1"/>
      <c r="C15" s="29" t="s">
        <v>413</v>
      </c>
      <c r="D15" s="2" t="s">
        <v>264</v>
      </c>
      <c r="E15" s="2" t="s">
        <v>393</v>
      </c>
      <c r="F15" s="2" t="s">
        <v>404</v>
      </c>
      <c r="O15" s="2"/>
      <c r="T15" s="1" t="s">
        <v>205</v>
      </c>
      <c r="U15" s="1" t="s">
        <v>224</v>
      </c>
      <c r="V15" s="1" t="s">
        <v>226</v>
      </c>
      <c r="W15" s="2" t="s">
        <v>224</v>
      </c>
      <c r="X15" s="2" t="s">
        <v>224</v>
      </c>
      <c r="Y15" s="2" t="s">
        <v>255</v>
      </c>
      <c r="Z15" s="2" t="s">
        <v>211</v>
      </c>
      <c r="AA15" s="2" t="s">
        <v>217</v>
      </c>
      <c r="AB15" s="2" t="s">
        <v>217</v>
      </c>
      <c r="AC15" s="2" t="s">
        <v>211</v>
      </c>
      <c r="AD15" s="1" t="s">
        <v>211</v>
      </c>
      <c r="AE15" s="1" t="s">
        <v>217</v>
      </c>
      <c r="AF15" s="1" t="s">
        <v>217</v>
      </c>
      <c r="AG15" s="1" t="s">
        <v>217</v>
      </c>
      <c r="AH15" s="1" t="s">
        <v>347</v>
      </c>
      <c r="AI15" s="2" t="s">
        <v>217</v>
      </c>
      <c r="AJ15" s="2" t="s">
        <v>217</v>
      </c>
      <c r="AK15" s="2" t="s">
        <v>211</v>
      </c>
      <c r="AL15" s="2" t="s">
        <v>217</v>
      </c>
      <c r="AM15" s="2" t="s">
        <v>211</v>
      </c>
      <c r="AN15" s="1" t="s">
        <v>255</v>
      </c>
      <c r="AO15" s="1" t="s">
        <v>498</v>
      </c>
      <c r="AP15" s="1" t="s">
        <v>499</v>
      </c>
      <c r="AQ15" s="28" t="s">
        <v>525</v>
      </c>
      <c r="AR15" s="1" t="s">
        <v>525</v>
      </c>
      <c r="AS15" s="1" t="s">
        <v>564</v>
      </c>
      <c r="AT15" s="1" t="s">
        <v>347</v>
      </c>
      <c r="AU15" s="1" t="s">
        <v>593</v>
      </c>
      <c r="AV15" s="1" t="s">
        <v>593</v>
      </c>
      <c r="AW15" s="1" t="s">
        <v>611</v>
      </c>
      <c r="AX15" s="1" t="s">
        <v>621</v>
      </c>
      <c r="AZ15" s="1">
        <v>2214</v>
      </c>
      <c r="BA15" s="1">
        <v>2214</v>
      </c>
      <c r="BB15" s="1">
        <v>2114</v>
      </c>
      <c r="BC15" s="1">
        <v>2214</v>
      </c>
      <c r="BD15" s="1">
        <v>2214</v>
      </c>
      <c r="BE15" s="1">
        <v>2214</v>
      </c>
      <c r="BF15" s="1">
        <v>2212</v>
      </c>
      <c r="BG15" s="1">
        <v>2214</v>
      </c>
      <c r="BH15" s="1">
        <v>2214</v>
      </c>
      <c r="BI15" s="1">
        <v>2214</v>
      </c>
      <c r="BJ15" s="1">
        <v>2212</v>
      </c>
    </row>
    <row r="16" spans="1:77" ht="14.25" customHeight="1" x14ac:dyDescent="0.2">
      <c r="A16" s="1"/>
      <c r="B16" s="1"/>
      <c r="C16" s="29" t="s">
        <v>419</v>
      </c>
      <c r="D16" s="2" t="s">
        <v>431</v>
      </c>
      <c r="E16" s="2" t="s">
        <v>393</v>
      </c>
      <c r="F16" s="2" t="s">
        <v>8</v>
      </c>
      <c r="R16" s="1" t="s">
        <v>201</v>
      </c>
      <c r="S16" s="1" t="s">
        <v>202</v>
      </c>
      <c r="T16" s="1" t="s">
        <v>210</v>
      </c>
      <c r="U16" s="1" t="s">
        <v>215</v>
      </c>
      <c r="W16" s="2" t="s">
        <v>233</v>
      </c>
      <c r="X16" s="2" t="s">
        <v>239</v>
      </c>
      <c r="Y16" s="2" t="s">
        <v>239</v>
      </c>
      <c r="Z16" s="2" t="s">
        <v>201</v>
      </c>
      <c r="AA16" s="2" t="s">
        <v>268</v>
      </c>
      <c r="AB16" s="2" t="s">
        <v>233</v>
      </c>
      <c r="AC16" s="2" t="s">
        <v>201</v>
      </c>
      <c r="AD16" s="1" t="s">
        <v>201</v>
      </c>
      <c r="AE16" s="1" t="s">
        <v>239</v>
      </c>
      <c r="AF16" s="1" t="s">
        <v>201</v>
      </c>
      <c r="AG16" s="1" t="s">
        <v>201</v>
      </c>
      <c r="AH16" s="1" t="s">
        <v>239</v>
      </c>
      <c r="AI16" s="2" t="s">
        <v>388</v>
      </c>
      <c r="AJ16" s="2" t="s">
        <v>233</v>
      </c>
      <c r="AK16" s="2" t="s">
        <v>233</v>
      </c>
      <c r="AL16" s="2" t="s">
        <v>233</v>
      </c>
      <c r="AM16" s="2" t="s">
        <v>201</v>
      </c>
      <c r="AN16" s="1" t="s">
        <v>233</v>
      </c>
      <c r="AO16" s="1" t="s">
        <v>519</v>
      </c>
      <c r="AP16" s="1" t="s">
        <v>388</v>
      </c>
      <c r="AQ16" s="28" t="s">
        <v>530</v>
      </c>
      <c r="AR16" s="1" t="s">
        <v>201</v>
      </c>
      <c r="AS16" s="1" t="s">
        <v>530</v>
      </c>
      <c r="AT16" s="1" t="s">
        <v>530</v>
      </c>
      <c r="AU16" s="1" t="s">
        <v>530</v>
      </c>
      <c r="AV16" s="1" t="s">
        <v>530</v>
      </c>
      <c r="AW16" s="1" t="s">
        <v>201</v>
      </c>
      <c r="AX16" s="1" t="s">
        <v>233</v>
      </c>
      <c r="AY16" s="1" t="s">
        <v>233</v>
      </c>
      <c r="AZ16" s="2" t="s">
        <v>642</v>
      </c>
      <c r="BA16" s="2" t="s">
        <v>233</v>
      </c>
      <c r="BB16" s="2" t="s">
        <v>388</v>
      </c>
      <c r="BC16" s="2" t="s">
        <v>233</v>
      </c>
    </row>
    <row r="17" spans="1:67" x14ac:dyDescent="0.2">
      <c r="A17" s="1"/>
      <c r="B17" s="1" t="s">
        <v>574</v>
      </c>
      <c r="C17" s="29" t="s">
        <v>414</v>
      </c>
      <c r="D17" s="2" t="s">
        <v>263</v>
      </c>
      <c r="E17" s="2" t="s">
        <v>10</v>
      </c>
      <c r="F17" s="2" t="s">
        <v>404</v>
      </c>
      <c r="U17" s="1" t="s">
        <v>191</v>
      </c>
      <c r="V17" s="1" t="s">
        <v>191</v>
      </c>
      <c r="W17" s="2" t="s">
        <v>191</v>
      </c>
      <c r="X17" s="2" t="s">
        <v>192</v>
      </c>
      <c r="Y17" s="2" t="s">
        <v>227</v>
      </c>
      <c r="Z17" s="2" t="s">
        <v>273</v>
      </c>
      <c r="AA17" s="2" t="s">
        <v>274</v>
      </c>
      <c r="AB17" s="2" t="s">
        <v>273</v>
      </c>
      <c r="AC17" s="2" t="s">
        <v>274</v>
      </c>
      <c r="AD17" s="1" t="s">
        <v>274</v>
      </c>
      <c r="AE17" s="1" t="s">
        <v>274</v>
      </c>
      <c r="AF17" s="1" t="s">
        <v>337</v>
      </c>
      <c r="AG17" s="1" t="s">
        <v>273</v>
      </c>
      <c r="AH17" s="1" t="s">
        <v>273</v>
      </c>
      <c r="AI17" s="2" t="s">
        <v>273</v>
      </c>
      <c r="AJ17" s="2" t="s">
        <v>273</v>
      </c>
      <c r="AK17" s="2" t="s">
        <v>273</v>
      </c>
      <c r="AL17" s="2" t="s">
        <v>337</v>
      </c>
      <c r="AM17" s="2" t="s">
        <v>484</v>
      </c>
      <c r="AN17" s="1" t="s">
        <v>273</v>
      </c>
      <c r="AO17" s="1" t="s">
        <v>203</v>
      </c>
      <c r="AP17" s="1" t="s">
        <v>500</v>
      </c>
      <c r="AQ17" s="28" t="s">
        <v>286</v>
      </c>
      <c r="AR17" s="1" t="s">
        <v>318</v>
      </c>
      <c r="AS17" s="1" t="s">
        <v>318</v>
      </c>
      <c r="AT17" s="1" t="s">
        <v>579</v>
      </c>
      <c r="AU17" s="1" t="s">
        <v>484</v>
      </c>
      <c r="AV17" s="1" t="s">
        <v>500</v>
      </c>
      <c r="AW17" s="1" t="s">
        <v>234</v>
      </c>
      <c r="AX17" s="1" t="s">
        <v>500</v>
      </c>
    </row>
    <row r="18" spans="1:67" x14ac:dyDescent="0.2">
      <c r="A18" s="1"/>
      <c r="B18" s="1"/>
      <c r="C18" s="29" t="s">
        <v>415</v>
      </c>
      <c r="D18" s="41" t="s">
        <v>262</v>
      </c>
      <c r="E18" s="2" t="s">
        <v>393</v>
      </c>
      <c r="F18" s="2" t="s">
        <v>404</v>
      </c>
      <c r="W18" s="2" t="s">
        <v>218</v>
      </c>
      <c r="X18" s="2" t="s">
        <v>238</v>
      </c>
      <c r="Y18" s="2" t="s">
        <v>257</v>
      </c>
      <c r="AC18" s="2"/>
    </row>
    <row r="19" spans="1:67" x14ac:dyDescent="0.2">
      <c r="A19" s="2" t="s">
        <v>267</v>
      </c>
      <c r="B19" s="2" t="s">
        <v>113</v>
      </c>
      <c r="C19" s="29" t="s">
        <v>426</v>
      </c>
      <c r="D19" s="2" t="s">
        <v>247</v>
      </c>
      <c r="E19" s="2" t="s">
        <v>243</v>
      </c>
      <c r="F19" s="2" t="s">
        <v>8</v>
      </c>
      <c r="X19" s="2" t="s">
        <v>371</v>
      </c>
      <c r="Y19" s="2" t="s">
        <v>372</v>
      </c>
      <c r="Z19" s="2" t="s">
        <v>373</v>
      </c>
      <c r="AA19" s="2" t="s">
        <v>374</v>
      </c>
      <c r="AB19" s="2" t="s">
        <v>374</v>
      </c>
      <c r="AC19" s="2" t="s">
        <v>375</v>
      </c>
      <c r="AD19" s="2" t="s">
        <v>376</v>
      </c>
      <c r="AE19" s="2" t="s">
        <v>493</v>
      </c>
      <c r="AF19" s="2" t="s">
        <v>493</v>
      </c>
      <c r="AG19" s="2" t="s">
        <v>492</v>
      </c>
      <c r="AH19" s="2" t="s">
        <v>493</v>
      </c>
      <c r="AI19" s="2" t="s">
        <v>493</v>
      </c>
      <c r="AJ19" s="2" t="s">
        <v>236</v>
      </c>
      <c r="AK19" s="2" t="s">
        <v>236</v>
      </c>
      <c r="AL19" s="2" t="s">
        <v>492</v>
      </c>
      <c r="AM19" s="2" t="s">
        <v>236</v>
      </c>
      <c r="AN19" s="1" t="s">
        <v>492</v>
      </c>
      <c r="AO19" s="1" t="s">
        <v>493</v>
      </c>
      <c r="AP19" s="1" t="s">
        <v>493</v>
      </c>
      <c r="AQ19" s="28" t="s">
        <v>207</v>
      </c>
      <c r="AR19" s="1" t="s">
        <v>493</v>
      </c>
      <c r="AS19" s="1" t="s">
        <v>493</v>
      </c>
      <c r="AT19" s="1" t="s">
        <v>493</v>
      </c>
      <c r="AU19" s="1" t="s">
        <v>493</v>
      </c>
      <c r="AV19" s="1" t="s">
        <v>493</v>
      </c>
      <c r="AW19" s="1" t="s">
        <v>493</v>
      </c>
      <c r="AX19" s="1" t="s">
        <v>236</v>
      </c>
      <c r="AY19" s="1" t="s">
        <v>493</v>
      </c>
      <c r="AZ19" s="1">
        <v>3308</v>
      </c>
      <c r="BA19" s="1">
        <v>3108</v>
      </c>
      <c r="BB19" s="1">
        <v>3108</v>
      </c>
      <c r="BC19" s="1">
        <v>3306</v>
      </c>
      <c r="BD19" s="1">
        <v>3306</v>
      </c>
      <c r="BE19" s="1">
        <v>3208</v>
      </c>
      <c r="BF19" s="1">
        <v>3107</v>
      </c>
      <c r="BG19" s="1">
        <v>3208</v>
      </c>
      <c r="BH19" s="1">
        <v>3108</v>
      </c>
      <c r="BI19" s="1">
        <v>3108</v>
      </c>
      <c r="BJ19" s="1">
        <v>3108</v>
      </c>
      <c r="BK19" s="1">
        <v>3107</v>
      </c>
      <c r="BL19" s="1">
        <v>3107</v>
      </c>
      <c r="BM19" s="1" t="s">
        <v>492</v>
      </c>
      <c r="BN19" s="1" t="s">
        <v>493</v>
      </c>
      <c r="BO19" s="1" t="s">
        <v>493</v>
      </c>
    </row>
    <row r="20" spans="1:67" x14ac:dyDescent="0.2">
      <c r="A20" s="1"/>
      <c r="B20" s="1"/>
      <c r="C20" s="29" t="s">
        <v>416</v>
      </c>
      <c r="D20" s="42" t="s">
        <v>248</v>
      </c>
      <c r="E20" s="2" t="s">
        <v>393</v>
      </c>
      <c r="F20" s="2" t="s">
        <v>8</v>
      </c>
      <c r="X20" s="2" t="s">
        <v>246</v>
      </c>
      <c r="Y20" s="2" t="s">
        <v>246</v>
      </c>
      <c r="Z20" s="2" t="s">
        <v>246</v>
      </c>
      <c r="AA20" s="2" t="s">
        <v>234</v>
      </c>
      <c r="AB20" s="2" t="s">
        <v>246</v>
      </c>
      <c r="AC20" s="1" t="s">
        <v>323</v>
      </c>
      <c r="AD20" s="1" t="s">
        <v>305</v>
      </c>
      <c r="AE20" s="1" t="s">
        <v>319</v>
      </c>
      <c r="AF20" s="1" t="s">
        <v>339</v>
      </c>
      <c r="AG20" s="1" t="s">
        <v>323</v>
      </c>
      <c r="AH20" s="1" t="s">
        <v>348</v>
      </c>
      <c r="AI20" s="2" t="s">
        <v>323</v>
      </c>
      <c r="AJ20" s="2" t="s">
        <v>198</v>
      </c>
      <c r="AK20" s="2" t="s">
        <v>323</v>
      </c>
      <c r="AL20" s="2" t="s">
        <v>234</v>
      </c>
      <c r="AM20" s="2" t="s">
        <v>319</v>
      </c>
      <c r="AN20" s="1" t="s">
        <v>504</v>
      </c>
      <c r="AO20" s="1" t="s">
        <v>504</v>
      </c>
      <c r="AP20" s="1" t="s">
        <v>323</v>
      </c>
      <c r="AQ20" s="28" t="s">
        <v>348</v>
      </c>
    </row>
    <row r="21" spans="1:67" x14ac:dyDescent="0.2">
      <c r="A21" s="1"/>
      <c r="B21" s="1"/>
      <c r="C21" s="29" t="s">
        <v>417</v>
      </c>
      <c r="D21" s="2" t="s">
        <v>249</v>
      </c>
      <c r="E21" s="2" t="s">
        <v>393</v>
      </c>
      <c r="F21" s="2" t="s">
        <v>404</v>
      </c>
      <c r="X21" s="2" t="s">
        <v>245</v>
      </c>
      <c r="Y21" s="2" t="s">
        <v>251</v>
      </c>
      <c r="Z21" s="2" t="s">
        <v>245</v>
      </c>
      <c r="AA21" s="2" t="s">
        <v>269</v>
      </c>
      <c r="AB21" s="2" t="s">
        <v>285</v>
      </c>
      <c r="AC21" s="2" t="s">
        <v>245</v>
      </c>
      <c r="AD21" s="1" t="s">
        <v>245</v>
      </c>
      <c r="AE21" s="1" t="s">
        <v>321</v>
      </c>
      <c r="AF21" s="1" t="s">
        <v>343</v>
      </c>
      <c r="AG21" s="1" t="s">
        <v>321</v>
      </c>
      <c r="AH21" s="1" t="s">
        <v>354</v>
      </c>
      <c r="AI21" s="2" t="s">
        <v>321</v>
      </c>
      <c r="AJ21" s="2" t="s">
        <v>343</v>
      </c>
      <c r="AK21" s="2" t="s">
        <v>389</v>
      </c>
      <c r="AL21" s="2" t="s">
        <v>467</v>
      </c>
      <c r="AM21" s="2" t="s">
        <v>475</v>
      </c>
      <c r="AN21" s="1" t="s">
        <v>245</v>
      </c>
      <c r="AO21" s="1" t="s">
        <v>270</v>
      </c>
      <c r="AP21" s="1" t="s">
        <v>518</v>
      </c>
      <c r="AQ21" s="28" t="s">
        <v>529</v>
      </c>
      <c r="AR21" s="1" t="s">
        <v>321</v>
      </c>
      <c r="AS21" s="1" t="s">
        <v>270</v>
      </c>
      <c r="AT21" s="1" t="s">
        <v>585</v>
      </c>
      <c r="AU21" s="1" t="s">
        <v>597</v>
      </c>
      <c r="AV21" s="1" t="s">
        <v>606</v>
      </c>
      <c r="AX21" s="1" t="s">
        <v>270</v>
      </c>
      <c r="AY21" s="2" t="s">
        <v>245</v>
      </c>
    </row>
    <row r="22" spans="1:67" x14ac:dyDescent="0.2">
      <c r="A22" s="1"/>
      <c r="B22" s="1"/>
      <c r="C22" s="29" t="s">
        <v>420</v>
      </c>
      <c r="D22" s="2" t="s">
        <v>266</v>
      </c>
      <c r="E22" s="2" t="s">
        <v>393</v>
      </c>
      <c r="F22" s="2" t="s">
        <v>404</v>
      </c>
      <c r="X22" s="2" t="s">
        <v>178</v>
      </c>
      <c r="AC22" s="2"/>
    </row>
    <row r="23" spans="1:67" x14ac:dyDescent="0.2">
      <c r="A23" s="2" t="s">
        <v>244</v>
      </c>
      <c r="B23" s="1"/>
      <c r="C23" s="29" t="s">
        <v>418</v>
      </c>
      <c r="D23" s="2" t="s">
        <v>250</v>
      </c>
      <c r="E23" s="2" t="s">
        <v>15</v>
      </c>
      <c r="F23" s="2" t="s">
        <v>404</v>
      </c>
      <c r="X23" s="2" t="s">
        <v>235</v>
      </c>
      <c r="Y23" s="2" t="s">
        <v>256</v>
      </c>
      <c r="Z23" s="2" t="s">
        <v>277</v>
      </c>
      <c r="AA23" s="2" t="s">
        <v>222</v>
      </c>
      <c r="AB23" s="2" t="s">
        <v>222</v>
      </c>
      <c r="AC23" s="2" t="s">
        <v>277</v>
      </c>
      <c r="AD23" s="1" t="s">
        <v>277</v>
      </c>
      <c r="AE23" s="1" t="s">
        <v>204</v>
      </c>
      <c r="AF23" s="1" t="s">
        <v>204</v>
      </c>
      <c r="AG23" s="1" t="s">
        <v>204</v>
      </c>
      <c r="AH23" s="1" t="s">
        <v>275</v>
      </c>
      <c r="AI23" s="2" t="s">
        <v>204</v>
      </c>
      <c r="AJ23" s="2" t="s">
        <v>177</v>
      </c>
      <c r="AK23" s="2" t="s">
        <v>222</v>
      </c>
      <c r="AL23" s="2" t="s">
        <v>256</v>
      </c>
      <c r="AM23" s="2" t="s">
        <v>487</v>
      </c>
      <c r="AN23" s="1" t="s">
        <v>204</v>
      </c>
      <c r="AO23" s="1" t="s">
        <v>204</v>
      </c>
      <c r="AP23" s="1" t="s">
        <v>177</v>
      </c>
      <c r="AQ23" s="28" t="s">
        <v>277</v>
      </c>
      <c r="AR23" s="1" t="s">
        <v>277</v>
      </c>
      <c r="AS23" s="1" t="s">
        <v>204</v>
      </c>
      <c r="AT23" s="1" t="s">
        <v>580</v>
      </c>
      <c r="AU23" s="1" t="s">
        <v>592</v>
      </c>
      <c r="AV23" s="1" t="s">
        <v>603</v>
      </c>
      <c r="AW23" s="1" t="s">
        <v>336</v>
      </c>
      <c r="AX23" s="1" t="s">
        <v>619</v>
      </c>
      <c r="AY23" s="1" t="s">
        <v>222</v>
      </c>
      <c r="AZ23" s="1">
        <v>2310</v>
      </c>
    </row>
    <row r="24" spans="1:67" x14ac:dyDescent="0.2">
      <c r="A24" s="1"/>
      <c r="B24" s="1"/>
      <c r="C24" s="29" t="s">
        <v>428</v>
      </c>
      <c r="D24" s="2" t="s">
        <v>302</v>
      </c>
      <c r="E24" s="2" t="s">
        <v>393</v>
      </c>
      <c r="F24" s="2" t="s">
        <v>8</v>
      </c>
      <c r="Y24" s="2" t="s">
        <v>258</v>
      </c>
      <c r="Z24" s="2" t="s">
        <v>258</v>
      </c>
      <c r="AA24" s="2" t="s">
        <v>258</v>
      </c>
      <c r="AB24" s="2" t="s">
        <v>258</v>
      </c>
      <c r="AC24" s="2" t="s">
        <v>258</v>
      </c>
      <c r="AD24" s="1" t="s">
        <v>258</v>
      </c>
      <c r="AE24" s="1" t="s">
        <v>258</v>
      </c>
      <c r="AF24" s="1" t="s">
        <v>258</v>
      </c>
      <c r="AG24" s="1" t="s">
        <v>258</v>
      </c>
      <c r="AH24" s="1" t="s">
        <v>353</v>
      </c>
      <c r="AI24" s="2" t="s">
        <v>258</v>
      </c>
      <c r="AJ24" s="2" t="s">
        <v>258</v>
      </c>
      <c r="AK24" s="2" t="s">
        <v>258</v>
      </c>
      <c r="AL24" s="2" t="s">
        <v>258</v>
      </c>
      <c r="AM24" s="2" t="s">
        <v>258</v>
      </c>
      <c r="AN24" s="1" t="s">
        <v>258</v>
      </c>
      <c r="AO24" s="1" t="s">
        <v>516</v>
      </c>
      <c r="AP24" s="1" t="s">
        <v>516</v>
      </c>
      <c r="AQ24" s="28" t="s">
        <v>258</v>
      </c>
      <c r="AR24" s="1" t="s">
        <v>258</v>
      </c>
      <c r="AS24" s="1" t="s">
        <v>178</v>
      </c>
      <c r="AT24" s="1" t="s">
        <v>178</v>
      </c>
    </row>
    <row r="25" spans="1:67" x14ac:dyDescent="0.2">
      <c r="A25" s="1"/>
      <c r="B25" s="1"/>
      <c r="C25" s="29"/>
      <c r="D25" s="2" t="s">
        <v>259</v>
      </c>
      <c r="E25" s="2" t="s">
        <v>393</v>
      </c>
      <c r="F25" s="2" t="s">
        <v>149</v>
      </c>
      <c r="Y25" s="2" t="s">
        <v>260</v>
      </c>
      <c r="Z25" s="2" t="s">
        <v>278</v>
      </c>
    </row>
    <row r="26" spans="1:67" x14ac:dyDescent="0.2">
      <c r="A26" s="1"/>
      <c r="B26" s="1"/>
      <c r="C26" s="29" t="s">
        <v>430</v>
      </c>
      <c r="D26" s="2" t="s">
        <v>301</v>
      </c>
      <c r="E26" s="2" t="s">
        <v>393</v>
      </c>
      <c r="F26" s="2" t="s">
        <v>8</v>
      </c>
      <c r="Y26" s="2" t="s">
        <v>261</v>
      </c>
      <c r="Z26" s="2" t="s">
        <v>279</v>
      </c>
      <c r="AA26" s="2" t="s">
        <v>280</v>
      </c>
      <c r="AB26" s="2" t="s">
        <v>287</v>
      </c>
      <c r="AC26" s="2" t="s">
        <v>326</v>
      </c>
      <c r="AD26" s="1" t="s">
        <v>303</v>
      </c>
      <c r="AE26" s="1" t="s">
        <v>315</v>
      </c>
      <c r="AF26" s="1" t="s">
        <v>335</v>
      </c>
      <c r="AG26" s="1" t="s">
        <v>335</v>
      </c>
      <c r="AH26" s="1" t="s">
        <v>335</v>
      </c>
      <c r="AI26" s="2" t="s">
        <v>380</v>
      </c>
      <c r="AJ26" s="2" t="s">
        <v>335</v>
      </c>
      <c r="AK26" s="2" t="s">
        <v>381</v>
      </c>
      <c r="AL26" s="2" t="s">
        <v>463</v>
      </c>
      <c r="AM26" s="2" t="s">
        <v>287</v>
      </c>
      <c r="AN26" s="1" t="s">
        <v>463</v>
      </c>
      <c r="AO26" s="1" t="s">
        <v>490</v>
      </c>
      <c r="AP26" s="1" t="s">
        <v>303</v>
      </c>
      <c r="AQ26" s="28" t="s">
        <v>315</v>
      </c>
      <c r="AR26" s="1" t="s">
        <v>536</v>
      </c>
      <c r="AT26" s="1" t="s">
        <v>577</v>
      </c>
      <c r="AU26" s="1" t="s">
        <v>590</v>
      </c>
      <c r="AV26" s="1" t="s">
        <v>590</v>
      </c>
      <c r="AW26" s="1" t="s">
        <v>610</v>
      </c>
      <c r="AX26" s="1" t="s">
        <v>577</v>
      </c>
      <c r="AY26" s="1" t="s">
        <v>178</v>
      </c>
      <c r="AZ26" s="1">
        <v>3110</v>
      </c>
      <c r="BA26" s="1">
        <v>3113</v>
      </c>
      <c r="BB26" s="1">
        <v>3110</v>
      </c>
      <c r="BC26" s="1">
        <v>3010</v>
      </c>
      <c r="BD26" s="1">
        <v>3111</v>
      </c>
      <c r="BE26" s="1">
        <v>3210</v>
      </c>
      <c r="BF26" s="1">
        <v>3111</v>
      </c>
      <c r="BG26" s="1">
        <v>3211</v>
      </c>
      <c r="BH26" s="1">
        <v>3111</v>
      </c>
      <c r="BI26" s="1">
        <v>3111</v>
      </c>
      <c r="BJ26" s="1">
        <v>3012</v>
      </c>
      <c r="BK26" s="1">
        <v>3112</v>
      </c>
      <c r="BL26" s="1">
        <v>3212</v>
      </c>
      <c r="BM26" s="1" t="s">
        <v>225</v>
      </c>
      <c r="BN26" s="1" t="s">
        <v>314</v>
      </c>
      <c r="BO26" s="1" t="s">
        <v>537</v>
      </c>
    </row>
    <row r="27" spans="1:67" x14ac:dyDescent="0.2">
      <c r="A27" s="1"/>
      <c r="B27" s="1"/>
      <c r="C27" s="29"/>
      <c r="D27" s="2" t="s">
        <v>300</v>
      </c>
      <c r="E27" s="2" t="s">
        <v>359</v>
      </c>
      <c r="F27" s="2" t="s">
        <v>149</v>
      </c>
      <c r="Z27" s="2" t="s">
        <v>178</v>
      </c>
      <c r="AA27" s="2" t="s">
        <v>178</v>
      </c>
      <c r="AB27" s="2" t="s">
        <v>286</v>
      </c>
      <c r="AC27" s="2" t="s">
        <v>318</v>
      </c>
      <c r="AD27" s="1" t="s">
        <v>286</v>
      </c>
      <c r="AE27" s="1" t="s">
        <v>318</v>
      </c>
      <c r="AF27" s="1" t="s">
        <v>338</v>
      </c>
      <c r="AG27" s="1" t="s">
        <v>178</v>
      </c>
      <c r="AH27" s="1" t="s">
        <v>178</v>
      </c>
      <c r="AI27" s="2" t="s">
        <v>379</v>
      </c>
      <c r="AJ27" s="2" t="s">
        <v>178</v>
      </c>
      <c r="AK27" s="2" t="s">
        <v>178</v>
      </c>
      <c r="AL27" s="2" t="s">
        <v>468</v>
      </c>
      <c r="AM27" s="2" t="s">
        <v>483</v>
      </c>
      <c r="AN27" s="1" t="s">
        <v>520</v>
      </c>
      <c r="AO27" s="1" t="s">
        <v>178</v>
      </c>
      <c r="AP27" s="1" t="s">
        <v>178</v>
      </c>
      <c r="AS27" s="1" t="s">
        <v>178</v>
      </c>
      <c r="AT27" s="1" t="s">
        <v>178</v>
      </c>
      <c r="AU27" s="1" t="s">
        <v>598</v>
      </c>
      <c r="AW27" s="1" t="s">
        <v>614</v>
      </c>
      <c r="AX27" s="1" t="s">
        <v>336</v>
      </c>
      <c r="AY27" s="1" t="s">
        <v>494</v>
      </c>
      <c r="AZ27" s="1">
        <v>2810</v>
      </c>
    </row>
    <row r="28" spans="1:67" x14ac:dyDescent="0.2">
      <c r="A28" s="1"/>
      <c r="B28" s="2" t="s">
        <v>459</v>
      </c>
      <c r="C28" s="29" t="s">
        <v>422</v>
      </c>
      <c r="D28" s="2" t="s">
        <v>299</v>
      </c>
      <c r="E28" s="2" t="s">
        <v>15</v>
      </c>
      <c r="F28" s="2" t="s">
        <v>8</v>
      </c>
      <c r="Z28" s="2" t="s">
        <v>460</v>
      </c>
      <c r="AA28" s="2" t="s">
        <v>461</v>
      </c>
      <c r="AB28" s="2" t="s">
        <v>460</v>
      </c>
      <c r="AC28" s="2" t="s">
        <v>460</v>
      </c>
      <c r="AD28" s="2" t="s">
        <v>462</v>
      </c>
      <c r="AE28" s="2" t="s">
        <v>547</v>
      </c>
      <c r="AF28" s="2" t="s">
        <v>550</v>
      </c>
      <c r="AG28" s="2" t="s">
        <v>549</v>
      </c>
      <c r="AH28" s="2" t="s">
        <v>547</v>
      </c>
      <c r="AI28" s="2" t="s">
        <v>549</v>
      </c>
      <c r="AJ28" s="2" t="s">
        <v>548</v>
      </c>
      <c r="AK28" s="2" t="s">
        <v>547</v>
      </c>
      <c r="AL28" s="2" t="s">
        <v>474</v>
      </c>
      <c r="AM28" s="2" t="s">
        <v>474</v>
      </c>
      <c r="AN28" s="1" t="s">
        <v>474</v>
      </c>
      <c r="AO28" s="1" t="s">
        <v>474</v>
      </c>
      <c r="AP28" s="1" t="s">
        <v>517</v>
      </c>
      <c r="AQ28" s="28" t="s">
        <v>528</v>
      </c>
      <c r="AR28" s="1" t="s">
        <v>541</v>
      </c>
      <c r="AS28" s="1" t="s">
        <v>569</v>
      </c>
      <c r="AT28" s="1" t="s">
        <v>474</v>
      </c>
      <c r="AU28" s="1" t="s">
        <v>474</v>
      </c>
      <c r="AV28" s="1" t="s">
        <v>613</v>
      </c>
      <c r="AW28" s="1" t="s">
        <v>613</v>
      </c>
      <c r="AX28" s="1" t="s">
        <v>623</v>
      </c>
      <c r="AY28" s="2" t="s">
        <v>548</v>
      </c>
      <c r="AZ28" s="2" t="s">
        <v>548</v>
      </c>
      <c r="BA28" s="2" t="s">
        <v>644</v>
      </c>
      <c r="BB28" s="2" t="s">
        <v>680</v>
      </c>
      <c r="BC28" s="2" t="s">
        <v>548</v>
      </c>
      <c r="BD28" s="2" t="s">
        <v>548</v>
      </c>
      <c r="BE28" s="2" t="s">
        <v>708</v>
      </c>
    </row>
    <row r="29" spans="1:67" x14ac:dyDescent="0.2">
      <c r="A29" s="1"/>
      <c r="B29" s="1"/>
      <c r="C29" s="29" t="s">
        <v>432</v>
      </c>
      <c r="D29" s="2" t="s">
        <v>298</v>
      </c>
      <c r="E29" s="2" t="s">
        <v>393</v>
      </c>
      <c r="F29" s="2" t="s">
        <v>8</v>
      </c>
      <c r="Z29" s="2" t="s">
        <v>281</v>
      </c>
      <c r="AA29" s="2" t="s">
        <v>281</v>
      </c>
      <c r="AB29" s="2" t="s">
        <v>288</v>
      </c>
      <c r="AC29" s="2" t="s">
        <v>327</v>
      </c>
      <c r="AD29" s="1" t="s">
        <v>309</v>
      </c>
      <c r="AE29" s="1" t="s">
        <v>288</v>
      </c>
      <c r="AF29" s="1" t="s">
        <v>344</v>
      </c>
      <c r="AG29" s="1" t="s">
        <v>309</v>
      </c>
      <c r="AH29" s="1" t="s">
        <v>281</v>
      </c>
      <c r="AI29" s="2" t="s">
        <v>344</v>
      </c>
      <c r="AJ29" s="2" t="s">
        <v>344</v>
      </c>
      <c r="AK29" s="2" t="s">
        <v>390</v>
      </c>
      <c r="AL29" s="2" t="s">
        <v>327</v>
      </c>
      <c r="AM29" s="2" t="s">
        <v>473</v>
      </c>
      <c r="AN29" s="1" t="s">
        <v>514</v>
      </c>
      <c r="AO29" s="1" t="s">
        <v>514</v>
      </c>
      <c r="AP29" s="1" t="s">
        <v>515</v>
      </c>
      <c r="AQ29" s="28" t="s">
        <v>527</v>
      </c>
      <c r="AR29" s="1" t="s">
        <v>515</v>
      </c>
      <c r="AS29" s="1" t="s">
        <v>568</v>
      </c>
      <c r="AT29" s="1" t="s">
        <v>584</v>
      </c>
      <c r="AU29" s="1" t="s">
        <v>584</v>
      </c>
      <c r="AV29" s="1" t="s">
        <v>309</v>
      </c>
      <c r="AW29" s="1" t="s">
        <v>309</v>
      </c>
      <c r="AX29" s="1" t="s">
        <v>473</v>
      </c>
      <c r="AY29" s="2" t="s">
        <v>309</v>
      </c>
      <c r="AZ29" s="2" t="s">
        <v>309</v>
      </c>
      <c r="BA29" s="2" t="s">
        <v>643</v>
      </c>
      <c r="BB29" s="2" t="s">
        <v>514</v>
      </c>
      <c r="BC29" s="2" t="s">
        <v>309</v>
      </c>
      <c r="BD29" s="2" t="s">
        <v>288</v>
      </c>
      <c r="BE29" s="2" t="s">
        <v>549</v>
      </c>
      <c r="BF29" s="2" t="s">
        <v>706</v>
      </c>
      <c r="BG29" s="2" t="s">
        <v>706</v>
      </c>
      <c r="BH29" s="2" t="s">
        <v>707</v>
      </c>
      <c r="BI29" s="2" t="s">
        <v>707</v>
      </c>
      <c r="BJ29" s="2" t="s">
        <v>309</v>
      </c>
      <c r="BK29" s="2" t="s">
        <v>309</v>
      </c>
    </row>
    <row r="30" spans="1:67" x14ac:dyDescent="0.2">
      <c r="A30" s="1"/>
      <c r="B30" s="1" t="s">
        <v>575</v>
      </c>
      <c r="C30" s="29" t="s">
        <v>421</v>
      </c>
      <c r="D30" s="2" t="s">
        <v>295</v>
      </c>
      <c r="E30" s="2" t="s">
        <v>393</v>
      </c>
      <c r="F30" s="2" t="s">
        <v>404</v>
      </c>
      <c r="AB30" s="2" t="s">
        <v>221</v>
      </c>
      <c r="AC30" s="2" t="s">
        <v>221</v>
      </c>
      <c r="AD30" s="1" t="s">
        <v>311</v>
      </c>
      <c r="AE30" s="1" t="s">
        <v>238</v>
      </c>
      <c r="AF30" s="1" t="s">
        <v>346</v>
      </c>
      <c r="AG30" s="1" t="s">
        <v>213</v>
      </c>
      <c r="AH30" s="1" t="s">
        <v>178</v>
      </c>
      <c r="AI30" s="2" t="s">
        <v>391</v>
      </c>
      <c r="AJ30" s="2" t="s">
        <v>392</v>
      </c>
      <c r="AK30" s="2" t="s">
        <v>392</v>
      </c>
      <c r="AL30" s="2" t="s">
        <v>218</v>
      </c>
      <c r="AM30" s="2" t="s">
        <v>221</v>
      </c>
      <c r="AN30" s="1" t="s">
        <v>497</v>
      </c>
      <c r="AO30" s="1" t="s">
        <v>346</v>
      </c>
      <c r="AP30" s="1" t="s">
        <v>497</v>
      </c>
      <c r="AQ30" s="28" t="s">
        <v>257</v>
      </c>
      <c r="AR30" s="1" t="s">
        <v>257</v>
      </c>
      <c r="AS30" s="1" t="s">
        <v>257</v>
      </c>
      <c r="AT30" s="1" t="s">
        <v>497</v>
      </c>
      <c r="AU30" s="1" t="s">
        <v>257</v>
      </c>
      <c r="AV30" s="1" t="s">
        <v>602</v>
      </c>
      <c r="BB30" s="1">
        <v>2515</v>
      </c>
      <c r="BC30" s="1">
        <v>2514</v>
      </c>
      <c r="BD30" s="1">
        <v>2513</v>
      </c>
      <c r="BE30" s="1">
        <v>2614</v>
      </c>
      <c r="BF30" s="1">
        <v>2614</v>
      </c>
      <c r="BG30" s="1">
        <v>2515</v>
      </c>
    </row>
    <row r="31" spans="1:67" x14ac:dyDescent="0.2">
      <c r="A31" s="1"/>
      <c r="B31" s="1"/>
      <c r="C31" s="29" t="s">
        <v>424</v>
      </c>
      <c r="D31" s="2" t="s">
        <v>294</v>
      </c>
      <c r="E31" s="2" t="s">
        <v>393</v>
      </c>
      <c r="F31" s="2" t="s">
        <v>8</v>
      </c>
      <c r="AB31" s="2" t="s">
        <v>282</v>
      </c>
      <c r="AC31" s="2"/>
      <c r="AD31" s="1" t="s">
        <v>293</v>
      </c>
      <c r="AE31" s="1" t="s">
        <v>314</v>
      </c>
      <c r="AF31" s="1" t="s">
        <v>333</v>
      </c>
      <c r="AG31" s="1" t="s">
        <v>334</v>
      </c>
      <c r="AH31" s="1" t="s">
        <v>334</v>
      </c>
      <c r="AI31" s="2" t="s">
        <v>334</v>
      </c>
      <c r="AJ31" s="2" t="s">
        <v>333</v>
      </c>
      <c r="AK31" s="2" t="s">
        <v>382</v>
      </c>
      <c r="AL31" s="2" t="s">
        <v>254</v>
      </c>
      <c r="AM31" s="2" t="s">
        <v>486</v>
      </c>
      <c r="AN31" s="1" t="s">
        <v>382</v>
      </c>
      <c r="AO31" s="1" t="s">
        <v>491</v>
      </c>
      <c r="AP31" s="1" t="s">
        <v>382</v>
      </c>
      <c r="AQ31" s="28" t="s">
        <v>242</v>
      </c>
      <c r="AR31" s="1" t="s">
        <v>537</v>
      </c>
      <c r="AS31" s="1" t="s">
        <v>382</v>
      </c>
      <c r="AT31" s="1" t="s">
        <v>225</v>
      </c>
      <c r="AU31" s="1" t="s">
        <v>225</v>
      </c>
      <c r="AV31" s="1" t="s">
        <v>225</v>
      </c>
      <c r="AW31" s="1" t="s">
        <v>537</v>
      </c>
      <c r="AX31" s="1" t="s">
        <v>231</v>
      </c>
      <c r="AY31" s="1" t="s">
        <v>225</v>
      </c>
    </row>
    <row r="32" spans="1:67" x14ac:dyDescent="0.2">
      <c r="A32" s="1"/>
      <c r="B32" s="1"/>
      <c r="C32" s="29" t="s">
        <v>423</v>
      </c>
      <c r="D32" s="2" t="s">
        <v>297</v>
      </c>
      <c r="E32" s="2" t="s">
        <v>393</v>
      </c>
      <c r="F32" s="2" t="s">
        <v>8</v>
      </c>
      <c r="AB32" s="2" t="s">
        <v>289</v>
      </c>
      <c r="AC32" s="1" t="s">
        <v>289</v>
      </c>
      <c r="AD32" s="1" t="s">
        <v>310</v>
      </c>
      <c r="AE32" s="1" t="s">
        <v>322</v>
      </c>
      <c r="AF32" s="1" t="s">
        <v>322</v>
      </c>
      <c r="AG32" s="1" t="s">
        <v>345</v>
      </c>
      <c r="AH32" s="1" t="s">
        <v>352</v>
      </c>
      <c r="AI32" s="2" t="s">
        <v>384</v>
      </c>
      <c r="AJ32" s="2" t="s">
        <v>384</v>
      </c>
      <c r="AK32" s="2" t="s">
        <v>385</v>
      </c>
    </row>
    <row r="33" spans="1:67" x14ac:dyDescent="0.2">
      <c r="A33" s="1"/>
      <c r="B33" s="1"/>
      <c r="C33" s="2" t="s">
        <v>433</v>
      </c>
      <c r="D33" s="2" t="s">
        <v>296</v>
      </c>
      <c r="E33" s="2" t="s">
        <v>393</v>
      </c>
      <c r="F33" s="2" t="s">
        <v>404</v>
      </c>
      <c r="AA33" s="2" t="s">
        <v>181</v>
      </c>
      <c r="AB33" s="2" t="s">
        <v>181</v>
      </c>
      <c r="AC33" s="1" t="s">
        <v>324</v>
      </c>
      <c r="AD33" s="1" t="s">
        <v>304</v>
      </c>
      <c r="AE33" s="1" t="s">
        <v>316</v>
      </c>
      <c r="AF33" s="1" t="s">
        <v>336</v>
      </c>
      <c r="AG33" s="1" t="s">
        <v>316</v>
      </c>
      <c r="AH33" s="1" t="s">
        <v>313</v>
      </c>
      <c r="AI33" s="2" t="s">
        <v>186</v>
      </c>
      <c r="AJ33" s="2" t="s">
        <v>186</v>
      </c>
      <c r="AK33" s="2" t="s">
        <v>313</v>
      </c>
      <c r="AL33" s="2" t="s">
        <v>171</v>
      </c>
      <c r="AM33" s="2" t="s">
        <v>172</v>
      </c>
      <c r="AN33" s="1" t="s">
        <v>496</v>
      </c>
      <c r="AO33" s="1" t="s">
        <v>304</v>
      </c>
      <c r="AP33" s="1" t="s">
        <v>313</v>
      </c>
      <c r="AQ33" s="28" t="s">
        <v>304</v>
      </c>
      <c r="AR33" s="1" t="s">
        <v>316</v>
      </c>
      <c r="AS33" s="1" t="s">
        <v>304</v>
      </c>
      <c r="AT33" s="1" t="s">
        <v>186</v>
      </c>
      <c r="AU33" s="1" t="s">
        <v>591</v>
      </c>
      <c r="AV33" s="1" t="s">
        <v>181</v>
      </c>
      <c r="AW33" s="1" t="s">
        <v>324</v>
      </c>
      <c r="AX33" s="1" t="s">
        <v>620</v>
      </c>
    </row>
    <row r="34" spans="1:67" x14ac:dyDescent="0.2">
      <c r="A34" s="1"/>
      <c r="B34" s="1" t="s">
        <v>14</v>
      </c>
      <c r="C34" s="29" t="s">
        <v>432</v>
      </c>
      <c r="D34" s="2" t="s">
        <v>377</v>
      </c>
      <c r="E34" s="2" t="s">
        <v>10</v>
      </c>
      <c r="F34" s="2" t="s">
        <v>8</v>
      </c>
      <c r="AC34" s="1" t="s">
        <v>329</v>
      </c>
      <c r="AD34" s="1" t="s">
        <v>306</v>
      </c>
      <c r="AE34" s="1" t="s">
        <v>306</v>
      </c>
      <c r="AF34" s="1" t="s">
        <v>329</v>
      </c>
      <c r="AG34" s="1" t="s">
        <v>228</v>
      </c>
      <c r="AH34" s="1" t="s">
        <v>350</v>
      </c>
      <c r="AK34" s="2" t="s">
        <v>383</v>
      </c>
      <c r="AL34" s="2" t="s">
        <v>306</v>
      </c>
      <c r="AM34" s="2" t="s">
        <v>329</v>
      </c>
      <c r="AN34" s="1" t="s">
        <v>329</v>
      </c>
      <c r="AO34" s="1" t="s">
        <v>329</v>
      </c>
      <c r="AP34" s="1" t="s">
        <v>228</v>
      </c>
      <c r="AQ34" s="28" t="s">
        <v>306</v>
      </c>
      <c r="AR34" s="1" t="s">
        <v>538</v>
      </c>
      <c r="AS34" s="1" t="s">
        <v>228</v>
      </c>
    </row>
    <row r="35" spans="1:67" x14ac:dyDescent="0.2">
      <c r="A35" s="1"/>
      <c r="B35" s="1"/>
      <c r="C35" s="29" t="s">
        <v>429</v>
      </c>
      <c r="D35" s="2" t="s">
        <v>394</v>
      </c>
      <c r="E35" s="2" t="s">
        <v>393</v>
      </c>
      <c r="F35" s="2" t="s">
        <v>8</v>
      </c>
      <c r="AI35" s="2" t="s">
        <v>395</v>
      </c>
      <c r="AK35" s="2" t="s">
        <v>395</v>
      </c>
    </row>
    <row r="36" spans="1:67" x14ac:dyDescent="0.2">
      <c r="A36" s="1"/>
      <c r="B36" s="1"/>
      <c r="C36" s="29" t="s">
        <v>427</v>
      </c>
      <c r="D36" s="2" t="s">
        <v>396</v>
      </c>
      <c r="E36" s="2" t="s">
        <v>393</v>
      </c>
      <c r="F36" s="2" t="s">
        <v>8</v>
      </c>
      <c r="AI36" s="2" t="s">
        <v>397</v>
      </c>
      <c r="AJ36" s="2" t="s">
        <v>398</v>
      </c>
      <c r="AK36" s="2" t="s">
        <v>395</v>
      </c>
      <c r="AL36" s="2" t="s">
        <v>466</v>
      </c>
      <c r="AM36" s="2" t="s">
        <v>476</v>
      </c>
      <c r="AN36" s="1" t="s">
        <v>476</v>
      </c>
      <c r="AQ36" s="28" t="s">
        <v>526</v>
      </c>
      <c r="AR36" s="1" t="s">
        <v>540</v>
      </c>
      <c r="AS36" s="1" t="s">
        <v>526</v>
      </c>
      <c r="AT36" s="1" t="s">
        <v>583</v>
      </c>
      <c r="AV36" s="1" t="s">
        <v>321</v>
      </c>
      <c r="AW36" s="1" t="s">
        <v>321</v>
      </c>
      <c r="AX36" s="1" t="s">
        <v>624</v>
      </c>
    </row>
    <row r="37" spans="1:67" x14ac:dyDescent="0.2">
      <c r="A37" s="1"/>
      <c r="B37" s="1" t="s">
        <v>20</v>
      </c>
      <c r="C37" s="29" t="s">
        <v>425</v>
      </c>
      <c r="D37" s="2" t="s">
        <v>399</v>
      </c>
      <c r="E37" s="2" t="s">
        <v>400</v>
      </c>
      <c r="AK37" s="2" t="s">
        <v>401</v>
      </c>
      <c r="AL37" s="2" t="s">
        <v>465</v>
      </c>
      <c r="AM37" s="2" t="s">
        <v>477</v>
      </c>
      <c r="AN37" s="1" t="s">
        <v>385</v>
      </c>
      <c r="AO37" s="1" t="s">
        <v>385</v>
      </c>
      <c r="AP37" s="1" t="s">
        <v>187</v>
      </c>
      <c r="AQ37" s="28" t="s">
        <v>385</v>
      </c>
      <c r="AR37" s="1" t="s">
        <v>539</v>
      </c>
      <c r="AS37" s="1" t="s">
        <v>385</v>
      </c>
      <c r="AT37" s="1" t="s">
        <v>385</v>
      </c>
      <c r="AU37" s="1" t="s">
        <v>596</v>
      </c>
      <c r="AV37" s="1" t="s">
        <v>605</v>
      </c>
      <c r="AW37" s="1" t="s">
        <v>539</v>
      </c>
      <c r="AX37" s="1" t="s">
        <v>539</v>
      </c>
      <c r="AY37" s="1" t="s">
        <v>582</v>
      </c>
      <c r="BA37" s="1">
        <v>1215</v>
      </c>
      <c r="BB37" s="1">
        <v>1116</v>
      </c>
      <c r="BC37" s="1">
        <v>1215</v>
      </c>
      <c r="BD37" s="1">
        <v>1216</v>
      </c>
      <c r="BE37" s="1">
        <v>1316</v>
      </c>
      <c r="BF37" s="1">
        <v>1215</v>
      </c>
      <c r="BG37" s="1">
        <v>1115</v>
      </c>
      <c r="BH37" s="1">
        <v>1216</v>
      </c>
      <c r="BI37" s="1">
        <v>1216</v>
      </c>
      <c r="BJ37" s="1">
        <v>1215</v>
      </c>
    </row>
    <row r="38" spans="1:67" x14ac:dyDescent="0.2">
      <c r="A38" s="1"/>
      <c r="B38" s="2" t="s">
        <v>472</v>
      </c>
      <c r="C38" s="29" t="s">
        <v>470</v>
      </c>
      <c r="D38" s="2" t="s">
        <v>471</v>
      </c>
      <c r="E38" s="2" t="s">
        <v>10</v>
      </c>
      <c r="AL38" s="2" t="s">
        <v>215</v>
      </c>
      <c r="AM38" s="2" t="s">
        <v>239</v>
      </c>
      <c r="AN38" s="1" t="s">
        <v>215</v>
      </c>
      <c r="AO38" s="1" t="s">
        <v>215</v>
      </c>
      <c r="AP38" s="1" t="s">
        <v>215</v>
      </c>
      <c r="AQ38" s="28" t="s">
        <v>215</v>
      </c>
      <c r="AR38" s="1" t="s">
        <v>215</v>
      </c>
      <c r="AS38" s="1" t="s">
        <v>545</v>
      </c>
      <c r="AT38" s="1" t="s">
        <v>586</v>
      </c>
      <c r="AU38" s="1" t="s">
        <v>215</v>
      </c>
      <c r="AV38" s="1" t="s">
        <v>612</v>
      </c>
      <c r="AW38" s="1" t="s">
        <v>612</v>
      </c>
      <c r="AX38" s="1" t="s">
        <v>586</v>
      </c>
      <c r="AY38" s="1" t="s">
        <v>606</v>
      </c>
    </row>
    <row r="39" spans="1:67" x14ac:dyDescent="0.2">
      <c r="A39" s="1"/>
      <c r="B39" s="1"/>
      <c r="C39" s="29" t="s">
        <v>482</v>
      </c>
      <c r="D39" s="2" t="s">
        <v>481</v>
      </c>
      <c r="E39" s="2" t="s">
        <v>480</v>
      </c>
      <c r="F39" s="2" t="s">
        <v>8</v>
      </c>
      <c r="AM39" s="2" t="s">
        <v>200</v>
      </c>
      <c r="AO39" s="1" t="s">
        <v>521</v>
      </c>
      <c r="AP39" s="1" t="s">
        <v>522</v>
      </c>
      <c r="AQ39" s="28" t="s">
        <v>342</v>
      </c>
      <c r="AR39" s="1" t="s">
        <v>237</v>
      </c>
      <c r="AS39" s="1" t="s">
        <v>342</v>
      </c>
      <c r="AT39" s="1" t="s">
        <v>342</v>
      </c>
      <c r="BA39" s="2" t="s">
        <v>546</v>
      </c>
      <c r="BB39" s="2" t="s">
        <v>189</v>
      </c>
      <c r="BC39" s="2" t="s">
        <v>342</v>
      </c>
      <c r="BD39" s="1">
        <v>1309</v>
      </c>
      <c r="BE39" s="1">
        <v>1609</v>
      </c>
      <c r="BF39" s="1">
        <v>1410</v>
      </c>
    </row>
    <row r="40" spans="1:67" x14ac:dyDescent="0.2">
      <c r="A40" s="1"/>
      <c r="B40" s="1"/>
      <c r="C40" s="29" t="s">
        <v>489</v>
      </c>
      <c r="D40" s="2" t="s">
        <v>488</v>
      </c>
      <c r="E40" s="2" t="s">
        <v>393</v>
      </c>
      <c r="AM40" s="2" t="s">
        <v>199</v>
      </c>
    </row>
    <row r="41" spans="1:67" x14ac:dyDescent="0.2">
      <c r="A41" s="1"/>
      <c r="B41" s="1" t="s">
        <v>576</v>
      </c>
      <c r="C41" s="29" t="s">
        <v>523</v>
      </c>
      <c r="D41" s="2" t="s">
        <v>535</v>
      </c>
      <c r="E41" s="2" t="s">
        <v>9</v>
      </c>
      <c r="F41" s="1" t="s">
        <v>8</v>
      </c>
      <c r="AN41" s="1" t="s">
        <v>185</v>
      </c>
      <c r="AQ41" s="28" t="s">
        <v>180</v>
      </c>
      <c r="AR41" s="1" t="s">
        <v>185</v>
      </c>
      <c r="AS41" s="1" t="s">
        <v>185</v>
      </c>
      <c r="AT41" s="1" t="s">
        <v>587</v>
      </c>
      <c r="AU41" s="1" t="s">
        <v>270</v>
      </c>
      <c r="AV41" s="1" t="s">
        <v>196</v>
      </c>
      <c r="AW41" s="1" t="s">
        <v>513</v>
      </c>
      <c r="AX41" s="1" t="s">
        <v>188</v>
      </c>
      <c r="AY41" s="1" t="s">
        <v>188</v>
      </c>
    </row>
    <row r="42" spans="1:67" x14ac:dyDescent="0.2">
      <c r="A42" s="1"/>
      <c r="B42" s="1"/>
      <c r="C42" s="29" t="s">
        <v>532</v>
      </c>
      <c r="D42" s="1" t="s">
        <v>533</v>
      </c>
      <c r="E42" s="2" t="s">
        <v>393</v>
      </c>
      <c r="F42" s="1" t="s">
        <v>8</v>
      </c>
      <c r="AQ42" s="28" t="s">
        <v>504</v>
      </c>
      <c r="AR42" s="1" t="s">
        <v>246</v>
      </c>
      <c r="AS42" s="1" t="s">
        <v>234</v>
      </c>
      <c r="AT42" s="1" t="s">
        <v>588</v>
      </c>
    </row>
    <row r="43" spans="1:67" x14ac:dyDescent="0.2">
      <c r="A43" s="1"/>
      <c r="B43" s="1"/>
      <c r="C43" s="29" t="s">
        <v>558</v>
      </c>
      <c r="D43" s="1" t="s">
        <v>534</v>
      </c>
      <c r="E43" s="2" t="s">
        <v>393</v>
      </c>
      <c r="F43" s="2" t="s">
        <v>149</v>
      </c>
      <c r="AR43" s="1" t="s">
        <v>542</v>
      </c>
      <c r="AS43" s="1" t="s">
        <v>178</v>
      </c>
      <c r="AT43" s="1" t="s">
        <v>589</v>
      </c>
    </row>
    <row r="44" spans="1:67" x14ac:dyDescent="0.2">
      <c r="A44" s="1"/>
      <c r="B44" s="28" t="s">
        <v>560</v>
      </c>
      <c r="C44" s="29" t="s">
        <v>559</v>
      </c>
      <c r="D44" s="1" t="s">
        <v>561</v>
      </c>
      <c r="E44" s="2" t="s">
        <v>10</v>
      </c>
      <c r="F44" s="1" t="s">
        <v>149</v>
      </c>
      <c r="AR44" s="1" t="s">
        <v>562</v>
      </c>
      <c r="AS44" s="1" t="s">
        <v>562</v>
      </c>
      <c r="AT44" s="1" t="s">
        <v>562</v>
      </c>
      <c r="AU44" s="1" t="s">
        <v>595</v>
      </c>
      <c r="AV44" s="1" t="s">
        <v>522</v>
      </c>
      <c r="AW44" s="1" t="s">
        <v>387</v>
      </c>
      <c r="AX44" s="1" t="s">
        <v>199</v>
      </c>
      <c r="AY44" s="1" t="s">
        <v>199</v>
      </c>
      <c r="AZ44" s="1">
        <v>1008</v>
      </c>
      <c r="BA44" s="1">
        <v>1008</v>
      </c>
      <c r="BB44" s="2" t="s">
        <v>185</v>
      </c>
      <c r="BC44" s="2" t="s">
        <v>185</v>
      </c>
      <c r="BD44" s="1">
        <v>1008</v>
      </c>
      <c r="BE44" s="1">
        <v>1008</v>
      </c>
      <c r="BF44" s="1">
        <v>1008</v>
      </c>
      <c r="BG44" s="1">
        <v>1009</v>
      </c>
      <c r="BH44" s="2" t="s">
        <v>705</v>
      </c>
      <c r="BI44" s="1">
        <v>1008</v>
      </c>
      <c r="BJ44" s="1">
        <v>1008</v>
      </c>
      <c r="BK44" s="1">
        <v>1008</v>
      </c>
      <c r="BL44" s="1">
        <v>1008</v>
      </c>
      <c r="BM44" s="1" t="s">
        <v>185</v>
      </c>
      <c r="BN44" s="1" t="s">
        <v>185</v>
      </c>
      <c r="BO44" s="1" t="s">
        <v>199</v>
      </c>
    </row>
    <row r="45" spans="1:67" x14ac:dyDescent="0.2">
      <c r="A45" s="1"/>
      <c r="B45" s="1"/>
      <c r="C45" s="29"/>
      <c r="D45" s="1" t="s">
        <v>570</v>
      </c>
      <c r="E45" s="2"/>
      <c r="F45" s="2"/>
      <c r="AS45" s="1" t="s">
        <v>258</v>
      </c>
      <c r="AT45" s="1" t="s">
        <v>258</v>
      </c>
      <c r="AU45" s="1" t="s">
        <v>540</v>
      </c>
    </row>
    <row r="46" spans="1:67" x14ac:dyDescent="0.2">
      <c r="A46" s="1"/>
      <c r="B46" s="1"/>
      <c r="C46" s="29" t="s">
        <v>631</v>
      </c>
      <c r="D46" s="1" t="s">
        <v>599</v>
      </c>
      <c r="E46" s="2"/>
      <c r="AS46" s="28"/>
      <c r="AU46" s="1" t="s">
        <v>258</v>
      </c>
      <c r="AV46" s="1" t="s">
        <v>258</v>
      </c>
      <c r="AW46" s="1" t="s">
        <v>258</v>
      </c>
      <c r="AX46" s="1" t="s">
        <v>258</v>
      </c>
      <c r="AY46" s="2" t="s">
        <v>258</v>
      </c>
      <c r="AZ46" s="2" t="s">
        <v>645</v>
      </c>
      <c r="BA46" s="2" t="s">
        <v>258</v>
      </c>
      <c r="BB46" s="2" t="s">
        <v>258</v>
      </c>
      <c r="BC46" s="2" t="s">
        <v>669</v>
      </c>
      <c r="BD46" s="2" t="s">
        <v>669</v>
      </c>
      <c r="BE46" s="2" t="s">
        <v>530</v>
      </c>
      <c r="BF46" s="2" t="s">
        <v>201</v>
      </c>
      <c r="BG46" s="2" t="s">
        <v>201</v>
      </c>
      <c r="BH46" s="2" t="s">
        <v>703</v>
      </c>
      <c r="BI46" s="2" t="s">
        <v>703</v>
      </c>
      <c r="BJ46" s="2" t="s">
        <v>704</v>
      </c>
      <c r="BK46" s="2" t="s">
        <v>519</v>
      </c>
      <c r="BL46" s="2" t="s">
        <v>343</v>
      </c>
      <c r="BM46" s="1" t="s">
        <v>388</v>
      </c>
      <c r="BN46" s="1" t="s">
        <v>586</v>
      </c>
    </row>
    <row r="47" spans="1:67" x14ac:dyDescent="0.2">
      <c r="A47" s="1"/>
      <c r="B47" s="1" t="s">
        <v>12</v>
      </c>
      <c r="C47" s="29" t="s">
        <v>632</v>
      </c>
      <c r="D47" s="1" t="s">
        <v>641</v>
      </c>
      <c r="E47" s="2" t="s">
        <v>10</v>
      </c>
      <c r="F47" s="2"/>
      <c r="AS47" s="28"/>
      <c r="AU47" s="1" t="s">
        <v>504</v>
      </c>
      <c r="AV47" s="1" t="s">
        <v>504</v>
      </c>
      <c r="AW47" s="1" t="s">
        <v>383</v>
      </c>
    </row>
    <row r="48" spans="1:67" x14ac:dyDescent="0.2">
      <c r="A48" s="1"/>
      <c r="B48" s="1" t="s">
        <v>18</v>
      </c>
      <c r="C48" s="29"/>
      <c r="D48" s="1" t="s">
        <v>601</v>
      </c>
      <c r="E48" s="2" t="s">
        <v>10</v>
      </c>
      <c r="AU48" s="1" t="s">
        <v>219</v>
      </c>
    </row>
    <row r="49" spans="1:67" x14ac:dyDescent="0.2">
      <c r="A49" s="1"/>
      <c r="B49" s="1" t="s">
        <v>600</v>
      </c>
      <c r="C49" s="29"/>
      <c r="D49" s="1"/>
      <c r="E49" s="2" t="s">
        <v>10</v>
      </c>
      <c r="F49" s="2"/>
      <c r="AU49" s="1" t="s">
        <v>513</v>
      </c>
    </row>
    <row r="50" spans="1:67" x14ac:dyDescent="0.2">
      <c r="A50" s="1"/>
      <c r="B50" s="1"/>
      <c r="C50" s="29" t="s">
        <v>633</v>
      </c>
      <c r="D50" s="1" t="s">
        <v>609</v>
      </c>
      <c r="E50" s="2" t="s">
        <v>393</v>
      </c>
      <c r="AV50" s="1" t="s">
        <v>206</v>
      </c>
      <c r="AW50" s="1" t="s">
        <v>271</v>
      </c>
    </row>
    <row r="51" spans="1:67" x14ac:dyDescent="0.2">
      <c r="A51" s="1"/>
      <c r="B51" s="45" t="s">
        <v>607</v>
      </c>
      <c r="C51" s="29" t="s">
        <v>634</v>
      </c>
      <c r="D51" s="1" t="s">
        <v>608</v>
      </c>
      <c r="E51" s="2" t="s">
        <v>10</v>
      </c>
      <c r="F51" s="2"/>
      <c r="AV51" s="45" t="s">
        <v>271</v>
      </c>
      <c r="BJ51" s="45" t="s">
        <v>189</v>
      </c>
      <c r="BK51" s="45">
        <v>1410</v>
      </c>
      <c r="BL51" s="45">
        <v>1306</v>
      </c>
      <c r="BM51" s="45" t="s">
        <v>717</v>
      </c>
      <c r="BN51" s="45" t="s">
        <v>717</v>
      </c>
      <c r="BO51" s="45" t="s">
        <v>272</v>
      </c>
    </row>
    <row r="52" spans="1:67" x14ac:dyDescent="0.2">
      <c r="A52" s="1"/>
      <c r="B52" s="1"/>
      <c r="C52" s="29" t="s">
        <v>635</v>
      </c>
      <c r="D52" s="1" t="s">
        <v>617</v>
      </c>
      <c r="E52" s="2" t="s">
        <v>393</v>
      </c>
      <c r="AW52" s="1" t="s">
        <v>616</v>
      </c>
      <c r="AX52" s="1" t="s">
        <v>618</v>
      </c>
      <c r="AY52" s="1" t="s">
        <v>496</v>
      </c>
      <c r="AZ52" s="1">
        <v>2316</v>
      </c>
      <c r="BA52" s="1">
        <v>2711</v>
      </c>
      <c r="BB52" s="1">
        <v>2817</v>
      </c>
      <c r="BC52" s="1">
        <v>2813</v>
      </c>
      <c r="BD52" s="1">
        <v>2814</v>
      </c>
      <c r="BE52" s="1">
        <v>2917</v>
      </c>
      <c r="BF52" s="1">
        <v>2716</v>
      </c>
      <c r="BG52" s="1">
        <v>2616</v>
      </c>
      <c r="BH52" s="1">
        <v>2914</v>
      </c>
      <c r="BI52" s="1">
        <v>2815</v>
      </c>
      <c r="BJ52" s="1">
        <v>2615</v>
      </c>
      <c r="BK52" s="1">
        <v>2814</v>
      </c>
      <c r="BL52" s="1">
        <v>2814</v>
      </c>
      <c r="BM52" s="1" t="s">
        <v>283</v>
      </c>
      <c r="BN52" s="1" t="s">
        <v>710</v>
      </c>
      <c r="BO52" s="1" t="s">
        <v>283</v>
      </c>
    </row>
    <row r="53" spans="1:67" x14ac:dyDescent="0.2">
      <c r="A53" s="1"/>
      <c r="B53" s="1"/>
      <c r="C53" s="29" t="s">
        <v>636</v>
      </c>
      <c r="D53" s="1" t="s">
        <v>625</v>
      </c>
      <c r="E53" s="2" t="s">
        <v>393</v>
      </c>
      <c r="F53" s="2"/>
      <c r="AX53" s="1" t="s">
        <v>627</v>
      </c>
      <c r="AY53" s="2" t="s">
        <v>219</v>
      </c>
      <c r="AZ53" s="2" t="s">
        <v>509</v>
      </c>
      <c r="BA53" s="2" t="s">
        <v>646</v>
      </c>
      <c r="BB53" s="1">
        <v>1814</v>
      </c>
      <c r="BC53" s="1">
        <v>1814</v>
      </c>
      <c r="BD53" s="1">
        <v>1614</v>
      </c>
      <c r="BE53" s="1">
        <v>1810</v>
      </c>
      <c r="BF53" s="1">
        <v>1812</v>
      </c>
      <c r="BG53" s="1">
        <v>1614</v>
      </c>
    </row>
    <row r="54" spans="1:67" x14ac:dyDescent="0.2">
      <c r="A54" s="1"/>
      <c r="B54" s="1"/>
      <c r="C54" s="29" t="s">
        <v>637</v>
      </c>
      <c r="D54" s="1" t="s">
        <v>626</v>
      </c>
      <c r="E54" s="2" t="s">
        <v>393</v>
      </c>
      <c r="AX54" s="1" t="s">
        <v>195</v>
      </c>
      <c r="AY54" s="2" t="s">
        <v>195</v>
      </c>
      <c r="AZ54" s="2" t="s">
        <v>647</v>
      </c>
      <c r="BA54" s="2" t="s">
        <v>271</v>
      </c>
      <c r="BB54" s="1">
        <v>1414</v>
      </c>
      <c r="BC54" s="2" t="s">
        <v>676</v>
      </c>
    </row>
    <row r="55" spans="1:67" x14ac:dyDescent="0.2">
      <c r="A55" s="1"/>
      <c r="B55" s="1"/>
      <c r="C55" s="29" t="s">
        <v>638</v>
      </c>
      <c r="D55" s="1" t="s">
        <v>630</v>
      </c>
      <c r="E55" s="2" t="s">
        <v>393</v>
      </c>
      <c r="F55" s="2"/>
      <c r="AX55" s="1" t="s">
        <v>200</v>
      </c>
      <c r="AY55" s="2" t="s">
        <v>386</v>
      </c>
      <c r="AZ55" s="2" t="s">
        <v>200</v>
      </c>
    </row>
    <row r="56" spans="1:67" x14ac:dyDescent="0.2">
      <c r="A56" s="1"/>
      <c r="B56" s="1"/>
      <c r="C56" s="29"/>
      <c r="D56" s="1" t="s">
        <v>628</v>
      </c>
      <c r="E56" s="2" t="s">
        <v>393</v>
      </c>
      <c r="AX56" s="1" t="s">
        <v>629</v>
      </c>
      <c r="AY56" s="2" t="s">
        <v>648</v>
      </c>
    </row>
    <row r="57" spans="1:67" x14ac:dyDescent="0.2">
      <c r="A57" s="1"/>
      <c r="B57" s="47" t="s">
        <v>650</v>
      </c>
      <c r="C57" s="29" t="s">
        <v>660</v>
      </c>
      <c r="D57" s="2" t="s">
        <v>668</v>
      </c>
      <c r="E57" s="2" t="s">
        <v>671</v>
      </c>
      <c r="AY57" s="47" t="s">
        <v>611</v>
      </c>
      <c r="AZ57" s="47" t="s">
        <v>238</v>
      </c>
      <c r="BC57" s="47" t="s">
        <v>672</v>
      </c>
    </row>
    <row r="58" spans="1:67" x14ac:dyDescent="0.2">
      <c r="A58" s="1"/>
      <c r="B58" s="1"/>
      <c r="C58" s="29" t="s">
        <v>662</v>
      </c>
      <c r="D58" s="2" t="s">
        <v>651</v>
      </c>
      <c r="E58" s="2" t="s">
        <v>393</v>
      </c>
      <c r="F58" s="2"/>
      <c r="AY58" s="2" t="s">
        <v>203</v>
      </c>
      <c r="AZ58" s="2" t="s">
        <v>234</v>
      </c>
      <c r="BA58" s="2" t="s">
        <v>192</v>
      </c>
      <c r="BB58" s="1">
        <v>2012</v>
      </c>
      <c r="BC58" s="1">
        <v>2010</v>
      </c>
      <c r="BD58" s="1">
        <v>2009</v>
      </c>
      <c r="BE58" s="1">
        <v>2110</v>
      </c>
      <c r="BF58" s="1">
        <v>1911</v>
      </c>
      <c r="BG58" s="1">
        <v>1911</v>
      </c>
      <c r="BH58" s="1">
        <v>2010</v>
      </c>
      <c r="BI58" s="1">
        <v>2110</v>
      </c>
      <c r="BJ58" s="1">
        <v>2309</v>
      </c>
      <c r="BK58" s="1">
        <v>2010</v>
      </c>
      <c r="BL58" s="1">
        <v>2109</v>
      </c>
      <c r="BM58" s="1" t="s">
        <v>192</v>
      </c>
      <c r="BN58" s="1" t="s">
        <v>498</v>
      </c>
    </row>
    <row r="59" spans="1:67" x14ac:dyDescent="0.2">
      <c r="A59" s="1"/>
      <c r="B59" s="1"/>
      <c r="C59" s="29" t="s">
        <v>661</v>
      </c>
      <c r="D59" s="2" t="s">
        <v>652</v>
      </c>
      <c r="E59" s="2" t="s">
        <v>393</v>
      </c>
      <c r="F59" s="2"/>
      <c r="AY59" s="2" t="s">
        <v>653</v>
      </c>
      <c r="AZ59" s="2" t="s">
        <v>312</v>
      </c>
      <c r="BA59" s="2" t="s">
        <v>654</v>
      </c>
      <c r="BB59" s="1">
        <v>2417</v>
      </c>
      <c r="BC59" s="1">
        <v>2116</v>
      </c>
      <c r="BD59" s="1">
        <v>2016</v>
      </c>
      <c r="BE59" s="1">
        <v>2416</v>
      </c>
      <c r="BF59" s="1">
        <v>1817</v>
      </c>
      <c r="BG59" s="1">
        <v>2317</v>
      </c>
      <c r="BH59" s="1">
        <v>2216</v>
      </c>
      <c r="BI59" s="1">
        <v>2117</v>
      </c>
      <c r="BJ59" s="1">
        <v>2116</v>
      </c>
      <c r="BK59" s="1">
        <v>2118</v>
      </c>
      <c r="BL59" s="1">
        <v>2117</v>
      </c>
      <c r="BM59" s="1" t="s">
        <v>711</v>
      </c>
      <c r="BO59" s="1" t="s">
        <v>653</v>
      </c>
    </row>
    <row r="60" spans="1:67" x14ac:dyDescent="0.2">
      <c r="A60" s="1"/>
      <c r="B60" s="1"/>
      <c r="C60" s="29" t="s">
        <v>663</v>
      </c>
      <c r="D60" s="2" t="s">
        <v>655</v>
      </c>
      <c r="E60" s="2" t="s">
        <v>393</v>
      </c>
      <c r="F60" s="2"/>
      <c r="AZ60" s="2" t="s">
        <v>612</v>
      </c>
      <c r="BA60" s="2" t="s">
        <v>188</v>
      </c>
      <c r="BB60" s="2" t="s">
        <v>543</v>
      </c>
      <c r="BC60" s="2" t="s">
        <v>586</v>
      </c>
      <c r="BD60" s="2" t="s">
        <v>586</v>
      </c>
      <c r="BE60" s="2" t="s">
        <v>586</v>
      </c>
      <c r="BF60" s="2" t="s">
        <v>196</v>
      </c>
      <c r="BG60" s="2" t="s">
        <v>612</v>
      </c>
      <c r="BH60" s="2" t="s">
        <v>545</v>
      </c>
      <c r="BI60" s="2" t="s">
        <v>188</v>
      </c>
      <c r="BJ60" s="2" t="s">
        <v>545</v>
      </c>
      <c r="BK60" s="2" t="s">
        <v>545</v>
      </c>
    </row>
    <row r="61" spans="1:67" x14ac:dyDescent="0.2">
      <c r="A61" s="1"/>
      <c r="B61" s="1"/>
      <c r="C61" s="29"/>
      <c r="D61" s="2" t="s">
        <v>656</v>
      </c>
      <c r="E61" s="2" t="s">
        <v>393</v>
      </c>
      <c r="F61" s="2"/>
      <c r="AZ61" s="2" t="s">
        <v>188</v>
      </c>
    </row>
    <row r="62" spans="1:67" x14ac:dyDescent="0.2">
      <c r="A62" s="1"/>
      <c r="B62" s="47" t="s">
        <v>721</v>
      </c>
      <c r="C62" s="29" t="s">
        <v>664</v>
      </c>
      <c r="D62" s="2" t="s">
        <v>657</v>
      </c>
      <c r="E62" s="2" t="s">
        <v>9</v>
      </c>
      <c r="F62" s="2"/>
      <c r="AZ62" s="47" t="s">
        <v>554</v>
      </c>
      <c r="BA62" s="47" t="s">
        <v>176</v>
      </c>
      <c r="BB62" s="45">
        <v>1807</v>
      </c>
      <c r="BC62" s="45">
        <v>1809</v>
      </c>
      <c r="BD62" s="45">
        <v>1805</v>
      </c>
      <c r="BE62" s="45">
        <v>1608</v>
      </c>
      <c r="BF62" s="47" t="s">
        <v>709</v>
      </c>
      <c r="BG62" s="47" t="s">
        <v>639</v>
      </c>
    </row>
    <row r="63" spans="1:67" x14ac:dyDescent="0.2">
      <c r="A63" s="1"/>
      <c r="B63" s="1"/>
      <c r="C63" s="29"/>
      <c r="D63" s="2" t="s">
        <v>666</v>
      </c>
      <c r="E63" s="2" t="s">
        <v>393</v>
      </c>
      <c r="F63" s="2"/>
      <c r="BA63" s="2" t="s">
        <v>496</v>
      </c>
    </row>
    <row r="64" spans="1:67" x14ac:dyDescent="0.2">
      <c r="A64" s="1"/>
      <c r="B64" s="47" t="s">
        <v>658</v>
      </c>
      <c r="C64" s="29" t="s">
        <v>665</v>
      </c>
      <c r="D64" s="2" t="s">
        <v>659</v>
      </c>
      <c r="E64" s="2" t="s">
        <v>10</v>
      </c>
      <c r="F64" s="2"/>
      <c r="BA64" s="47" t="s">
        <v>238</v>
      </c>
      <c r="BB64" s="45">
        <v>2510</v>
      </c>
      <c r="BC64" s="45">
        <v>2412</v>
      </c>
      <c r="BD64" s="45">
        <v>2308</v>
      </c>
      <c r="BE64" s="45" t="s">
        <v>686</v>
      </c>
      <c r="BF64" s="45" t="s">
        <v>181</v>
      </c>
      <c r="BG64" s="45" t="s">
        <v>686</v>
      </c>
      <c r="BH64" s="45" t="s">
        <v>324</v>
      </c>
      <c r="BI64" s="45">
        <v>2410</v>
      </c>
      <c r="BJ64" s="45">
        <v>2412</v>
      </c>
      <c r="BK64" s="45" t="s">
        <v>347</v>
      </c>
      <c r="BL64" s="45">
        <v>2513</v>
      </c>
      <c r="BO64" s="45" t="s">
        <v>718</v>
      </c>
    </row>
    <row r="65" spans="1:67" x14ac:dyDescent="0.2">
      <c r="A65" s="1"/>
      <c r="B65" s="47" t="s">
        <v>670</v>
      </c>
      <c r="C65" s="29" t="s">
        <v>684</v>
      </c>
      <c r="D65" s="2" t="s">
        <v>667</v>
      </c>
      <c r="E65" s="2" t="s">
        <v>15</v>
      </c>
      <c r="F65" s="2"/>
      <c r="BB65" s="45" t="s">
        <v>171</v>
      </c>
      <c r="BC65" s="45">
        <v>2709</v>
      </c>
      <c r="BD65" s="45">
        <v>2709</v>
      </c>
      <c r="BE65" s="45">
        <v>2709</v>
      </c>
      <c r="BF65" s="45">
        <v>2710</v>
      </c>
      <c r="BG65" s="45">
        <v>2610</v>
      </c>
      <c r="BH65" s="45">
        <v>2810</v>
      </c>
      <c r="BI65" s="45">
        <v>2810</v>
      </c>
      <c r="BJ65" s="45" t="s">
        <v>181</v>
      </c>
      <c r="BK65" s="45" t="s">
        <v>616</v>
      </c>
      <c r="BL65" s="45">
        <v>2709</v>
      </c>
      <c r="BM65" s="45" t="s">
        <v>172</v>
      </c>
      <c r="BN65" s="45" t="s">
        <v>186</v>
      </c>
      <c r="BO65" s="45" t="s">
        <v>618</v>
      </c>
    </row>
    <row r="66" spans="1:67" x14ac:dyDescent="0.2">
      <c r="A66" s="1"/>
      <c r="B66" s="1"/>
      <c r="C66" s="29" t="s">
        <v>675</v>
      </c>
      <c r="D66" s="2" t="s">
        <v>673</v>
      </c>
      <c r="E66" s="2" t="s">
        <v>393</v>
      </c>
      <c r="F66" s="2"/>
      <c r="BB66" s="2" t="s">
        <v>580</v>
      </c>
      <c r="BC66" s="2" t="s">
        <v>464</v>
      </c>
      <c r="BD66" s="1">
        <v>2105</v>
      </c>
      <c r="BE66" s="1">
        <v>2106</v>
      </c>
      <c r="BF66" s="1">
        <v>2107</v>
      </c>
      <c r="BG66" s="1">
        <v>2007</v>
      </c>
      <c r="BH66" s="1">
        <v>2207</v>
      </c>
      <c r="BI66" s="1">
        <v>2208</v>
      </c>
      <c r="BJ66" s="1">
        <v>2007</v>
      </c>
      <c r="BK66" s="1">
        <v>2206</v>
      </c>
      <c r="BL66" s="1">
        <v>1907</v>
      </c>
      <c r="BM66" s="1" t="s">
        <v>277</v>
      </c>
      <c r="BN66" s="1" t="s">
        <v>204</v>
      </c>
      <c r="BO66" s="1" t="s">
        <v>204</v>
      </c>
    </row>
    <row r="67" spans="1:67" s="28" customFormat="1" x14ac:dyDescent="0.2">
      <c r="A67" s="34"/>
      <c r="C67" s="29" t="s">
        <v>681</v>
      </c>
      <c r="D67" s="29" t="s">
        <v>674</v>
      </c>
      <c r="E67" s="2" t="s">
        <v>393</v>
      </c>
      <c r="F67" s="2"/>
      <c r="AO67" s="29"/>
      <c r="AT67" s="29"/>
      <c r="AV67" s="29"/>
      <c r="AW67" s="29"/>
      <c r="AX67" s="29"/>
      <c r="BB67" s="29" t="s">
        <v>313</v>
      </c>
      <c r="BC67" s="29" t="s">
        <v>313</v>
      </c>
      <c r="BD67" s="29" t="s">
        <v>677</v>
      </c>
      <c r="BE67" s="28" t="s">
        <v>677</v>
      </c>
      <c r="BF67" s="29" t="s">
        <v>677</v>
      </c>
      <c r="BG67" s="29" t="s">
        <v>677</v>
      </c>
      <c r="BH67" s="29" t="s">
        <v>313</v>
      </c>
      <c r="BI67" s="28" t="s">
        <v>702</v>
      </c>
      <c r="BJ67" s="29" t="s">
        <v>316</v>
      </c>
      <c r="BK67" s="28" t="s">
        <v>592</v>
      </c>
      <c r="BL67" s="28" t="s">
        <v>313</v>
      </c>
      <c r="BM67" s="28" t="s">
        <v>316</v>
      </c>
      <c r="BN67" s="28" t="s">
        <v>316</v>
      </c>
      <c r="BO67" s="28" t="s">
        <v>712</v>
      </c>
    </row>
    <row r="68" spans="1:67" s="28" customFormat="1" x14ac:dyDescent="0.2">
      <c r="A68" s="34"/>
      <c r="B68" s="34"/>
      <c r="C68" s="28" t="s">
        <v>719</v>
      </c>
      <c r="D68" s="29" t="s">
        <v>683</v>
      </c>
      <c r="E68" s="2" t="s">
        <v>393</v>
      </c>
      <c r="F68" s="2"/>
      <c r="N68" s="29"/>
      <c r="P68" s="29"/>
      <c r="Q68" s="29"/>
      <c r="R68" s="29"/>
      <c r="S68" s="29"/>
      <c r="T68" s="29"/>
      <c r="U68" s="29"/>
      <c r="V68" s="29"/>
      <c r="W68" s="29"/>
      <c r="X68" s="29"/>
      <c r="Z68" s="29"/>
      <c r="AA68" s="29"/>
      <c r="AB68" s="29"/>
      <c r="AD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V68" s="29"/>
      <c r="AW68" s="29"/>
      <c r="AX68" s="29"/>
      <c r="AY68" s="29" t="s">
        <v>567</v>
      </c>
      <c r="AZ68" s="29" t="s">
        <v>649</v>
      </c>
      <c r="BA68" s="29" t="s">
        <v>567</v>
      </c>
      <c r="BC68" s="1">
        <v>914</v>
      </c>
      <c r="BD68" s="29" t="s">
        <v>270</v>
      </c>
      <c r="BF68" s="28" t="s">
        <v>270</v>
      </c>
      <c r="BG68" s="28" t="s">
        <v>197</v>
      </c>
      <c r="BH68" s="28" t="s">
        <v>209</v>
      </c>
      <c r="BI68" s="28" t="s">
        <v>209</v>
      </c>
    </row>
    <row r="69" spans="1:67" s="28" customFormat="1" x14ac:dyDescent="0.2">
      <c r="A69" s="34"/>
      <c r="B69" s="34"/>
      <c r="C69" s="34"/>
      <c r="D69" s="29" t="s">
        <v>678</v>
      </c>
      <c r="E69" s="2"/>
      <c r="F69" s="29"/>
      <c r="Z69" s="29"/>
      <c r="AA69" s="29"/>
      <c r="AB69" s="29"/>
      <c r="AC69" s="29"/>
      <c r="AD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V69" s="29"/>
      <c r="AW69" s="29"/>
      <c r="AX69" s="29"/>
      <c r="AZ69" s="29"/>
      <c r="BA69" s="29"/>
      <c r="BB69" s="29" t="s">
        <v>679</v>
      </c>
      <c r="BC69" s="29" t="s">
        <v>354</v>
      </c>
      <c r="BD69" s="29" t="s">
        <v>354</v>
      </c>
      <c r="BE69" s="29" t="s">
        <v>682</v>
      </c>
      <c r="BF69" s="29" t="s">
        <v>245</v>
      </c>
      <c r="BG69" s="29" t="s">
        <v>679</v>
      </c>
      <c r="BH69" s="29" t="s">
        <v>679</v>
      </c>
      <c r="BI69" s="28" t="s">
        <v>679</v>
      </c>
      <c r="BJ69" s="29" t="s">
        <v>597</v>
      </c>
      <c r="BK69" s="28" t="s">
        <v>568</v>
      </c>
      <c r="BL69" s="28" t="s">
        <v>321</v>
      </c>
      <c r="BM69" s="28" t="s">
        <v>568</v>
      </c>
      <c r="BN69" s="28" t="s">
        <v>245</v>
      </c>
      <c r="BO69" s="28" t="s">
        <v>269</v>
      </c>
    </row>
    <row r="70" spans="1:67" s="28" customFormat="1" ht="13.5" customHeight="1" x14ac:dyDescent="0.2">
      <c r="A70" s="34"/>
      <c r="B70" s="34"/>
      <c r="C70" s="34" t="s">
        <v>701</v>
      </c>
      <c r="D70" s="29" t="s">
        <v>685</v>
      </c>
      <c r="E70" s="2"/>
      <c r="F70" s="29"/>
      <c r="AQ70" s="29"/>
      <c r="AR70" s="29"/>
      <c r="AW70" s="29"/>
      <c r="BA70" s="29"/>
      <c r="BF70" s="29" t="s">
        <v>494</v>
      </c>
      <c r="BG70" s="28" t="s">
        <v>494</v>
      </c>
      <c r="BH70" s="28" t="s">
        <v>494</v>
      </c>
      <c r="BI70" s="28" t="s">
        <v>494</v>
      </c>
      <c r="BL70" s="28" t="s">
        <v>494</v>
      </c>
    </row>
    <row r="71" spans="1:67" s="28" customFormat="1" x14ac:dyDescent="0.2">
      <c r="A71" s="34"/>
      <c r="B71" s="34"/>
      <c r="C71" s="34"/>
      <c r="D71" s="34" t="s">
        <v>687</v>
      </c>
      <c r="E71" s="2"/>
      <c r="F71" s="29"/>
      <c r="U71" s="29"/>
      <c r="W71" s="29"/>
      <c r="Z71" s="29"/>
      <c r="AA71" s="29"/>
      <c r="AB71" s="29"/>
      <c r="AD71" s="29"/>
      <c r="AE71" s="29"/>
      <c r="AG71" s="29"/>
      <c r="AH71" s="29"/>
      <c r="AI71" s="29"/>
      <c r="AJ71" s="15"/>
      <c r="AK71" s="29"/>
      <c r="AL71" s="29"/>
      <c r="AM71" s="29"/>
      <c r="AN71" s="29"/>
      <c r="AO71" s="29"/>
      <c r="AP71" s="29"/>
      <c r="AR71" s="29"/>
      <c r="AT71" s="29"/>
      <c r="AV71" s="29"/>
      <c r="AW71" s="29"/>
      <c r="BF71" s="28" t="s">
        <v>258</v>
      </c>
      <c r="BG71" s="28" t="s">
        <v>645</v>
      </c>
      <c r="BH71" s="28" t="s">
        <v>258</v>
      </c>
      <c r="BI71" s="28" t="s">
        <v>669</v>
      </c>
      <c r="BJ71" s="28" t="s">
        <v>258</v>
      </c>
      <c r="BK71" s="28" t="s">
        <v>258</v>
      </c>
      <c r="BL71" s="28" t="s">
        <v>258</v>
      </c>
      <c r="BM71" s="28" t="s">
        <v>258</v>
      </c>
      <c r="BN71" s="28" t="s">
        <v>715</v>
      </c>
      <c r="BO71" s="28" t="s">
        <v>258</v>
      </c>
    </row>
    <row r="72" spans="1:67" s="28" customFormat="1" x14ac:dyDescent="0.2">
      <c r="A72" s="34"/>
      <c r="B72" s="34"/>
      <c r="C72" s="34" t="s">
        <v>692</v>
      </c>
      <c r="D72" s="34" t="s">
        <v>688</v>
      </c>
      <c r="E72" s="2" t="s">
        <v>393</v>
      </c>
      <c r="M72" s="29"/>
      <c r="R72" s="29"/>
      <c r="S72" s="29"/>
      <c r="T72" s="29"/>
      <c r="U72" s="29"/>
      <c r="W72" s="29"/>
      <c r="X72" s="29"/>
      <c r="Z72" s="29"/>
      <c r="AA72" s="29"/>
      <c r="AC72" s="29"/>
      <c r="AH72" s="29"/>
      <c r="AI72" s="29"/>
      <c r="AM72" s="29"/>
      <c r="AN72" s="29"/>
      <c r="AO72" s="29"/>
      <c r="AP72" s="29"/>
      <c r="AR72" s="29"/>
      <c r="AS72" s="29"/>
      <c r="AT72" s="29"/>
      <c r="BG72" s="28" t="s">
        <v>622</v>
      </c>
      <c r="BH72" s="28" t="s">
        <v>690</v>
      </c>
      <c r="BI72" s="28" t="s">
        <v>205</v>
      </c>
      <c r="BJ72" s="28" t="s">
        <v>693</v>
      </c>
      <c r="BK72" s="28" t="s">
        <v>695</v>
      </c>
      <c r="BL72" s="28" t="s">
        <v>693</v>
      </c>
      <c r="BM72" s="28" t="s">
        <v>319</v>
      </c>
      <c r="BN72" s="28" t="s">
        <v>646</v>
      </c>
      <c r="BO72" s="28" t="s">
        <v>192</v>
      </c>
    </row>
    <row r="73" spans="1:67" s="28" customFormat="1" x14ac:dyDescent="0.2">
      <c r="A73" s="34"/>
      <c r="B73" s="46" t="s">
        <v>720</v>
      </c>
      <c r="C73" s="28" t="s">
        <v>700</v>
      </c>
      <c r="D73" s="34" t="s">
        <v>689</v>
      </c>
      <c r="E73" s="34" t="s">
        <v>10</v>
      </c>
      <c r="F73" s="29"/>
      <c r="AQ73" s="29"/>
      <c r="AR73" s="29"/>
      <c r="AT73" s="29"/>
      <c r="AV73" s="29"/>
      <c r="AW73" s="29"/>
      <c r="BA73" s="29"/>
      <c r="BE73" s="29"/>
      <c r="BG73" s="45" t="s">
        <v>228</v>
      </c>
      <c r="BH73" s="45" t="s">
        <v>691</v>
      </c>
      <c r="BI73" s="45" t="s">
        <v>691</v>
      </c>
      <c r="BJ73" s="45" t="s">
        <v>505</v>
      </c>
      <c r="BK73" s="45" t="s">
        <v>546</v>
      </c>
      <c r="BL73" s="45" t="s">
        <v>506</v>
      </c>
      <c r="BM73" s="45" t="s">
        <v>505</v>
      </c>
      <c r="BN73" s="45" t="s">
        <v>176</v>
      </c>
      <c r="BO73" s="45" t="s">
        <v>176</v>
      </c>
    </row>
    <row r="74" spans="1:67" s="28" customFormat="1" x14ac:dyDescent="0.2">
      <c r="A74" s="34"/>
      <c r="B74" s="29"/>
      <c r="C74" s="34"/>
      <c r="D74" s="34" t="s">
        <v>694</v>
      </c>
      <c r="E74" s="2" t="s">
        <v>393</v>
      </c>
      <c r="F74" s="29"/>
      <c r="R74" s="29"/>
      <c r="S74" s="29"/>
      <c r="U74" s="29"/>
      <c r="W74" s="29"/>
      <c r="Z74" s="29"/>
      <c r="AC74" s="29"/>
      <c r="AE74" s="29"/>
      <c r="AH74" s="29"/>
      <c r="AI74" s="29"/>
      <c r="AK74" s="29"/>
      <c r="AL74" s="29"/>
      <c r="AM74" s="29"/>
      <c r="AN74" s="29"/>
      <c r="AO74" s="29"/>
      <c r="AP74" s="29"/>
      <c r="AR74" s="29"/>
      <c r="AS74" s="29"/>
      <c r="AT74" s="29"/>
      <c r="AV74" s="29"/>
      <c r="AW74" s="29"/>
      <c r="AX74" s="29"/>
      <c r="BC74" s="29"/>
      <c r="BD74" s="29"/>
      <c r="BE74" s="29"/>
      <c r="BF74" s="29"/>
      <c r="BH74" s="29"/>
      <c r="BJ74" s="28" t="s">
        <v>622</v>
      </c>
      <c r="BK74" s="28" t="s">
        <v>622</v>
      </c>
      <c r="BL74" s="28" t="s">
        <v>205</v>
      </c>
    </row>
    <row r="75" spans="1:67" s="28" customFormat="1" x14ac:dyDescent="0.2">
      <c r="A75" s="34"/>
      <c r="C75" s="34" t="s">
        <v>698</v>
      </c>
      <c r="D75" s="34" t="s">
        <v>696</v>
      </c>
      <c r="E75" s="2" t="s">
        <v>393</v>
      </c>
      <c r="F75" s="29"/>
      <c r="M75" s="29"/>
      <c r="T75" s="29"/>
      <c r="W75" s="29"/>
      <c r="X75" s="29"/>
      <c r="Y75" s="29"/>
      <c r="AA75" s="29"/>
      <c r="AE75" s="29"/>
      <c r="AH75" s="29"/>
      <c r="AI75" s="29"/>
      <c r="AK75" s="29"/>
      <c r="AL75" s="29"/>
      <c r="AM75" s="29"/>
      <c r="AN75" s="29"/>
      <c r="AP75" s="29"/>
      <c r="AT75" s="29"/>
      <c r="AV75" s="29"/>
      <c r="BL75" s="28" t="s">
        <v>195</v>
      </c>
      <c r="BM75" s="28" t="s">
        <v>477</v>
      </c>
      <c r="BN75" s="28" t="s">
        <v>713</v>
      </c>
    </row>
    <row r="76" spans="1:67" s="28" customFormat="1" x14ac:dyDescent="0.2">
      <c r="A76" s="34"/>
      <c r="C76" s="34" t="s">
        <v>699</v>
      </c>
      <c r="D76" s="34" t="s">
        <v>697</v>
      </c>
      <c r="E76" s="2" t="s">
        <v>393</v>
      </c>
      <c r="F76" s="29"/>
      <c r="Q76" s="29"/>
      <c r="R76" s="29"/>
      <c r="S76" s="29"/>
      <c r="T76" s="29"/>
      <c r="U76" s="29"/>
      <c r="V76" s="29"/>
      <c r="W76" s="29"/>
      <c r="X76" s="29"/>
      <c r="Z76" s="29"/>
      <c r="AA76" s="29"/>
      <c r="AB76" s="29"/>
      <c r="AD76" s="29"/>
      <c r="AE76" s="29"/>
      <c r="AH76" s="29"/>
      <c r="AI76" s="29"/>
      <c r="AK76" s="29"/>
      <c r="AL76" s="29"/>
      <c r="AN76" s="29"/>
      <c r="AO76" s="29"/>
      <c r="AP76" s="29"/>
      <c r="AQ76" s="29"/>
      <c r="AR76" s="29"/>
      <c r="AS76" s="29"/>
      <c r="AT76" s="29"/>
      <c r="AV76" s="29"/>
      <c r="AW76" s="29"/>
      <c r="AX76" s="29"/>
      <c r="AY76" s="29"/>
      <c r="AZ76" s="29"/>
      <c r="BA76" s="29"/>
      <c r="BD76" s="29"/>
      <c r="BF76" s="29"/>
      <c r="BL76" s="28" t="s">
        <v>513</v>
      </c>
      <c r="BM76" s="28" t="s">
        <v>714</v>
      </c>
      <c r="BN76" s="28" t="s">
        <v>512</v>
      </c>
      <c r="BO76" s="28" t="s">
        <v>180</v>
      </c>
    </row>
    <row r="77" spans="1:67" s="28" customFormat="1" x14ac:dyDescent="0.2">
      <c r="A77" s="34"/>
      <c r="C77" s="29"/>
      <c r="D77" s="29" t="s">
        <v>716</v>
      </c>
      <c r="E77" s="2" t="s">
        <v>393</v>
      </c>
      <c r="F77" s="29"/>
      <c r="P77" s="29"/>
      <c r="R77" s="29"/>
      <c r="T77" s="29"/>
      <c r="U77" s="29"/>
      <c r="V77" s="29"/>
      <c r="W77" s="29"/>
      <c r="X77" s="29"/>
      <c r="Z77" s="29"/>
      <c r="AA77" s="29"/>
      <c r="AH77" s="29"/>
      <c r="AI77" s="29"/>
      <c r="AN77" s="29"/>
      <c r="AR77" s="29"/>
      <c r="AS77" s="29"/>
      <c r="AT77" s="29"/>
      <c r="BD77" s="29"/>
      <c r="BE77" s="29"/>
      <c r="BF77" s="29"/>
      <c r="BN77" s="28" t="s">
        <v>205</v>
      </c>
      <c r="BO77" s="28" t="s">
        <v>212</v>
      </c>
    </row>
    <row r="78" spans="1:67" s="28" customFormat="1" x14ac:dyDescent="0.2">
      <c r="A78" s="34"/>
      <c r="C78" s="29"/>
      <c r="D78" s="29"/>
      <c r="E78" s="29"/>
      <c r="F78" s="29"/>
      <c r="Z78" s="29"/>
      <c r="AH78" s="29"/>
      <c r="AO78" s="29"/>
      <c r="AP78" s="29"/>
      <c r="AR78" s="29"/>
      <c r="AZ78" s="29"/>
      <c r="BE78" s="29"/>
    </row>
    <row r="79" spans="1:67" s="28" customFormat="1" x14ac:dyDescent="0.2">
      <c r="A79" s="34"/>
      <c r="C79" s="34"/>
      <c r="D79" s="29"/>
      <c r="E79" s="29"/>
      <c r="F79" s="29"/>
      <c r="J79" s="29"/>
      <c r="N79" s="32"/>
      <c r="P79" s="29"/>
      <c r="Q79" s="29"/>
      <c r="R79" s="29"/>
      <c r="S79" s="29"/>
      <c r="T79" s="29"/>
      <c r="U79" s="29"/>
      <c r="V79" s="29"/>
      <c r="W79" s="29"/>
      <c r="Z79" s="29"/>
      <c r="AA79" s="29"/>
      <c r="AB79" s="29"/>
      <c r="AD79" s="29"/>
      <c r="AG79" s="29"/>
      <c r="AH79" s="29"/>
      <c r="AI79" s="29"/>
      <c r="AJ79" s="29"/>
      <c r="AK79" s="29"/>
      <c r="AL79" s="29"/>
      <c r="AM79" s="29"/>
      <c r="AQ79" s="29"/>
      <c r="AR79" s="29"/>
      <c r="AS79" s="29"/>
      <c r="AT79" s="29"/>
    </row>
    <row r="80" spans="1:67" s="28" customFormat="1" x14ac:dyDescent="0.2">
      <c r="A80" s="34"/>
      <c r="C80" s="29"/>
      <c r="D80" s="29"/>
      <c r="E80" s="29"/>
      <c r="F80" s="29"/>
      <c r="AQ80" s="29"/>
      <c r="AR80" s="29"/>
      <c r="AT80" s="29"/>
      <c r="AV80" s="29"/>
      <c r="AW80" s="29"/>
      <c r="BA80" s="29"/>
      <c r="BE80" s="29"/>
    </row>
    <row r="81" spans="1:64" s="28" customFormat="1" x14ac:dyDescent="0.2">
      <c r="A81" s="34"/>
      <c r="C81" s="29"/>
      <c r="D81" s="29"/>
      <c r="E81" s="29"/>
      <c r="F81" s="29"/>
      <c r="AR81" s="29"/>
      <c r="AT81" s="29"/>
      <c r="AW81" s="29"/>
      <c r="AX81" s="29"/>
      <c r="BA81" s="29"/>
      <c r="BC81" s="29"/>
      <c r="BE81" s="29"/>
      <c r="BG81" s="29"/>
    </row>
    <row r="82" spans="1:64" s="28" customFormat="1" x14ac:dyDescent="0.2">
      <c r="A82" s="34"/>
      <c r="B82" s="29"/>
      <c r="C82" s="29"/>
      <c r="D82" s="29"/>
      <c r="E82" s="29"/>
      <c r="F82" s="29"/>
      <c r="Z82" s="29"/>
      <c r="AB82" s="29"/>
      <c r="AD82" s="29"/>
      <c r="AG82" s="29"/>
      <c r="AH82" s="29"/>
      <c r="AJ82" s="29"/>
      <c r="AK82" s="29"/>
      <c r="AL82" s="29"/>
      <c r="AM82" s="29"/>
      <c r="AO82" s="29"/>
      <c r="AP82" s="29"/>
      <c r="AQ82" s="29"/>
      <c r="AR82" s="29"/>
      <c r="AS82" s="29"/>
      <c r="AT82" s="29"/>
      <c r="AV82" s="29"/>
      <c r="AW82" s="29"/>
      <c r="AY82" s="29"/>
      <c r="AZ82" s="29"/>
      <c r="BA82" s="29"/>
      <c r="BD82" s="29"/>
      <c r="BF82" s="29"/>
      <c r="BJ82" s="29"/>
    </row>
    <row r="83" spans="1:64" s="28" customFormat="1" x14ac:dyDescent="0.2">
      <c r="A83" s="34"/>
      <c r="C83" s="29"/>
      <c r="D83" s="29"/>
      <c r="E83" s="29"/>
      <c r="F83" s="29"/>
      <c r="U83" s="29"/>
      <c r="AA83" s="29"/>
      <c r="AR83" s="29"/>
    </row>
    <row r="84" spans="1:64" s="28" customFormat="1" x14ac:dyDescent="0.2">
      <c r="A84" s="34"/>
      <c r="B84" s="29"/>
      <c r="C84" s="29"/>
      <c r="D84" s="29"/>
      <c r="E84" s="29"/>
      <c r="F84" s="29"/>
      <c r="AP84" s="29"/>
      <c r="AX84" s="29"/>
      <c r="BE84" s="29"/>
    </row>
    <row r="85" spans="1:64" s="28" customFormat="1" x14ac:dyDescent="0.2">
      <c r="A85" s="34"/>
      <c r="B85" s="29"/>
      <c r="C85" s="29"/>
      <c r="D85" s="29"/>
      <c r="E85" s="29"/>
      <c r="F85" s="29"/>
      <c r="AP85" s="29"/>
      <c r="AQ85" s="29"/>
      <c r="AT85" s="29"/>
      <c r="AV85" s="29"/>
      <c r="AX85" s="29"/>
      <c r="BE85" s="29"/>
      <c r="BF85" s="29"/>
      <c r="BH85" s="29"/>
      <c r="BJ85" s="29"/>
      <c r="BL85" s="29"/>
    </row>
    <row r="86" spans="1:64" s="28" customFormat="1" x14ac:dyDescent="0.2">
      <c r="A86" s="34"/>
      <c r="B86" s="29"/>
      <c r="C86" s="29"/>
      <c r="D86" s="29"/>
      <c r="E86" s="29"/>
      <c r="F86" s="29"/>
      <c r="AL86" s="29"/>
      <c r="AM86" s="29"/>
      <c r="AN86" s="29"/>
      <c r="AO86" s="29"/>
      <c r="AP86" s="29"/>
      <c r="AR86" s="29"/>
      <c r="AS86" s="29"/>
      <c r="AT86" s="29"/>
      <c r="AV86" s="29"/>
      <c r="AX86" s="29"/>
      <c r="BA86" s="29"/>
      <c r="BB86" s="29"/>
      <c r="BC86" s="29"/>
      <c r="BD86" s="29"/>
      <c r="BE86" s="29"/>
      <c r="BF86" s="29"/>
      <c r="BG86" s="29"/>
      <c r="BJ86" s="29"/>
    </row>
    <row r="87" spans="1:64" s="28" customFormat="1" x14ac:dyDescent="0.2">
      <c r="A87" s="34"/>
      <c r="B87" s="29"/>
      <c r="C87" s="29"/>
      <c r="D87" s="29"/>
      <c r="E87" s="29"/>
      <c r="F87" s="29"/>
      <c r="R87" s="29"/>
      <c r="S87" s="29"/>
      <c r="W87" s="29"/>
      <c r="AA87" s="29"/>
      <c r="AB87" s="29"/>
      <c r="AD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V87" s="29"/>
      <c r="AW87" s="29"/>
      <c r="AX87" s="29"/>
      <c r="AY87" s="29"/>
      <c r="AZ87" s="29"/>
      <c r="BA87" s="29"/>
      <c r="BC87" s="29"/>
      <c r="BD87" s="29"/>
      <c r="BE87" s="29"/>
      <c r="BF87" s="29"/>
      <c r="BG87" s="29"/>
      <c r="BH87" s="29"/>
      <c r="BJ87" s="29"/>
    </row>
    <row r="88" spans="1:64" s="28" customFormat="1" x14ac:dyDescent="0.2">
      <c r="A88" s="34"/>
      <c r="B88" s="29"/>
      <c r="C88" s="29"/>
      <c r="D88" s="29"/>
      <c r="E88" s="29"/>
      <c r="F88" s="29"/>
      <c r="J88" s="29"/>
      <c r="M88" s="29"/>
      <c r="N88" s="29"/>
      <c r="Q88" s="29"/>
      <c r="R88" s="29"/>
      <c r="S88" s="29"/>
      <c r="T88" s="29"/>
      <c r="U88" s="29"/>
      <c r="V88" s="29"/>
      <c r="W88" s="29"/>
      <c r="Z88" s="29"/>
      <c r="AA88" s="29"/>
      <c r="AB88" s="29"/>
      <c r="AC88" s="29"/>
      <c r="AD88" s="29"/>
      <c r="AG88" s="29"/>
      <c r="AJ88" s="29"/>
      <c r="AK88" s="29"/>
      <c r="AL88" s="29"/>
      <c r="AO88" s="29"/>
      <c r="AP88" s="29"/>
      <c r="AR88" s="29"/>
      <c r="AS88" s="29"/>
      <c r="AV88" s="29"/>
      <c r="AW88" s="29"/>
      <c r="AX88" s="29"/>
      <c r="BD88" s="29"/>
    </row>
    <row r="89" spans="1:64" s="28" customFormat="1" x14ac:dyDescent="0.2">
      <c r="A89" s="34"/>
      <c r="B89" s="29"/>
      <c r="C89" s="29"/>
      <c r="D89" s="29"/>
      <c r="E89" s="29"/>
      <c r="F89" s="29"/>
      <c r="Z89" s="29"/>
      <c r="AA89" s="29"/>
      <c r="AB89" s="29"/>
      <c r="AC89" s="29"/>
      <c r="AD89" s="29"/>
      <c r="AG89" s="29"/>
      <c r="AO89" s="29"/>
      <c r="AP89" s="29"/>
      <c r="AR89" s="29"/>
      <c r="AS89" s="29"/>
      <c r="AT89" s="29"/>
      <c r="AV89" s="29"/>
      <c r="AW89" s="29"/>
      <c r="AX89" s="29"/>
      <c r="AZ89" s="29"/>
      <c r="BA89" s="29"/>
      <c r="BD89" s="29"/>
    </row>
    <row r="90" spans="1:64" s="28" customFormat="1" x14ac:dyDescent="0.2">
      <c r="A90" s="34"/>
      <c r="C90" s="29"/>
      <c r="D90" s="29"/>
      <c r="E90" s="29"/>
      <c r="F90" s="29"/>
      <c r="J90" s="29"/>
      <c r="N90" s="29"/>
      <c r="R90" s="29"/>
      <c r="S90" s="29"/>
      <c r="W90" s="29"/>
      <c r="Z90" s="29"/>
      <c r="AA90" s="29"/>
      <c r="AB90" s="29"/>
      <c r="AD90" s="29"/>
      <c r="AK90" s="29"/>
      <c r="AM90" s="29"/>
      <c r="AN90" s="29"/>
      <c r="AO90" s="29"/>
      <c r="AP90" s="29"/>
      <c r="AR90" s="29"/>
      <c r="AS90" s="29"/>
      <c r="AT90" s="29"/>
      <c r="AV90" s="29"/>
      <c r="AW90" s="29"/>
      <c r="AX90" s="29"/>
    </row>
    <row r="91" spans="1:64" s="28" customFormat="1" x14ac:dyDescent="0.2">
      <c r="A91" s="34"/>
      <c r="C91" s="29"/>
      <c r="D91" s="29"/>
      <c r="E91" s="29"/>
      <c r="F91" s="29"/>
      <c r="AR91" s="29"/>
      <c r="AS91" s="29"/>
      <c r="AT91" s="29"/>
      <c r="AV91" s="29"/>
      <c r="AW91" s="29"/>
      <c r="AX91" s="29"/>
      <c r="BA91" s="29"/>
      <c r="BC91" s="29"/>
      <c r="BE91" s="29"/>
      <c r="BG91" s="29"/>
      <c r="BH91" s="29"/>
      <c r="BK91" s="29"/>
      <c r="BL91" s="29"/>
    </row>
    <row r="92" spans="1:64" s="28" customFormat="1" x14ac:dyDescent="0.2">
      <c r="A92" s="34"/>
      <c r="B92" s="29"/>
      <c r="C92" s="29"/>
      <c r="D92" s="29"/>
      <c r="E92" s="29"/>
      <c r="F92" s="29"/>
      <c r="AR92" s="29"/>
      <c r="AT92" s="29"/>
      <c r="AV92" s="29"/>
      <c r="AW92" s="29"/>
      <c r="BA92" s="29"/>
      <c r="BF92" s="29"/>
    </row>
    <row r="93" spans="1:64" s="28" customFormat="1" x14ac:dyDescent="0.2">
      <c r="A93" s="34"/>
      <c r="B93" s="29"/>
      <c r="C93" s="29"/>
      <c r="D93" s="29"/>
      <c r="E93" s="29"/>
      <c r="F93" s="29"/>
      <c r="AR93" s="29"/>
      <c r="AV93" s="29"/>
      <c r="BF93" s="29"/>
      <c r="BG93" s="29"/>
      <c r="BH93" s="29"/>
      <c r="BJ93" s="29"/>
    </row>
    <row r="94" spans="1:64" s="28" customFormat="1" x14ac:dyDescent="0.2">
      <c r="A94" s="34"/>
      <c r="C94" s="29"/>
      <c r="D94" s="29"/>
      <c r="E94" s="29"/>
      <c r="F94" s="29"/>
      <c r="AQ94" s="29"/>
      <c r="AR94" s="29"/>
      <c r="AT94" s="29"/>
      <c r="AV94" s="29"/>
      <c r="AW94" s="29"/>
      <c r="AX94" s="29"/>
      <c r="BA94" s="29"/>
      <c r="BB94" s="29"/>
      <c r="BC94" s="29"/>
      <c r="BE94" s="29"/>
    </row>
    <row r="95" spans="1:64" s="28" customFormat="1" x14ac:dyDescent="0.2">
      <c r="A95" s="34"/>
      <c r="C95" s="29"/>
      <c r="D95" s="29"/>
      <c r="E95" s="29"/>
      <c r="F95" s="29"/>
      <c r="AR95" s="29"/>
      <c r="AS95" s="29"/>
      <c r="AV95" s="29"/>
    </row>
    <row r="96" spans="1:64" s="28" customFormat="1" x14ac:dyDescent="0.2">
      <c r="A96" s="34"/>
      <c r="B96" s="29"/>
      <c r="C96" s="29"/>
      <c r="D96" s="29"/>
      <c r="E96" s="29"/>
      <c r="F96" s="29"/>
      <c r="AR96" s="29"/>
      <c r="AT96" s="29"/>
      <c r="AV96" s="29"/>
      <c r="AW96" s="29"/>
      <c r="AX96" s="29"/>
      <c r="BA96" s="29"/>
    </row>
    <row r="97" spans="1:64" s="28" customFormat="1" x14ac:dyDescent="0.2">
      <c r="A97" s="34"/>
      <c r="C97" s="29"/>
      <c r="D97" s="29"/>
      <c r="E97" s="29"/>
      <c r="F97" s="29"/>
      <c r="AS97" s="29"/>
      <c r="AT97" s="29"/>
      <c r="AW97" s="29"/>
      <c r="BF97" s="29"/>
      <c r="BG97" s="29"/>
      <c r="BJ97" s="29"/>
    </row>
    <row r="98" spans="1:64" s="28" customFormat="1" x14ac:dyDescent="0.2">
      <c r="A98" s="34"/>
      <c r="C98" s="29"/>
      <c r="D98" s="29"/>
      <c r="E98" s="29"/>
      <c r="F98" s="29"/>
      <c r="AT98" s="29"/>
      <c r="AW98" s="29"/>
      <c r="BA98" s="29"/>
      <c r="BF98" s="29"/>
    </row>
    <row r="99" spans="1:64" s="28" customFormat="1" x14ac:dyDescent="0.2">
      <c r="A99" s="34"/>
      <c r="B99" s="29"/>
      <c r="C99" s="29"/>
      <c r="D99" s="29"/>
      <c r="E99" s="29"/>
      <c r="F99" s="29"/>
      <c r="AT99" s="29"/>
      <c r="AU99" s="29"/>
      <c r="AV99" s="29"/>
      <c r="AW99" s="29"/>
      <c r="AX99" s="29"/>
      <c r="AZ99" s="29"/>
      <c r="BA99" s="29"/>
      <c r="BB99" s="29"/>
      <c r="BC99" s="29"/>
      <c r="BF99" s="29"/>
    </row>
    <row r="100" spans="1:64" s="28" customFormat="1" x14ac:dyDescent="0.2">
      <c r="A100" s="34"/>
      <c r="B100" s="29"/>
      <c r="C100" s="29"/>
      <c r="D100" s="29"/>
      <c r="E100" s="29"/>
      <c r="F100" s="29"/>
      <c r="AW100" s="29"/>
      <c r="AX100" s="29"/>
      <c r="BK100" s="29"/>
    </row>
    <row r="101" spans="1:64" s="28" customFormat="1" x14ac:dyDescent="0.2">
      <c r="A101" s="34"/>
      <c r="D101" s="29"/>
    </row>
    <row r="102" spans="1:64" s="28" customFormat="1" x14ac:dyDescent="0.2">
      <c r="A102" s="34"/>
      <c r="C102" s="29"/>
      <c r="D102" s="29"/>
      <c r="E102" s="29"/>
      <c r="F102" s="29"/>
      <c r="G102" s="29"/>
      <c r="AV102" s="29"/>
      <c r="AW102" s="29"/>
      <c r="AX102" s="29"/>
      <c r="BF102" s="29"/>
      <c r="BG102" s="29"/>
      <c r="BH102" s="29"/>
      <c r="BJ102" s="29"/>
    </row>
    <row r="103" spans="1:64" s="28" customFormat="1" x14ac:dyDescent="0.2">
      <c r="A103" s="34"/>
      <c r="B103" s="29"/>
      <c r="C103" s="29"/>
      <c r="D103" s="29"/>
      <c r="E103" s="29"/>
      <c r="F103" s="29"/>
      <c r="AU103" s="29"/>
      <c r="AW103" s="29"/>
      <c r="BF103" s="29"/>
    </row>
    <row r="104" spans="1:64" s="28" customFormat="1" x14ac:dyDescent="0.2">
      <c r="A104" s="34"/>
      <c r="B104" s="29"/>
      <c r="C104" s="29"/>
      <c r="D104" s="29"/>
      <c r="E104" s="29"/>
      <c r="F104" s="29"/>
      <c r="AU104" s="29"/>
      <c r="AW104" s="29"/>
      <c r="BF104" s="29"/>
      <c r="BG104" s="29"/>
      <c r="BH104" s="29"/>
      <c r="BJ104" s="29"/>
      <c r="BK104" s="29"/>
    </row>
    <row r="105" spans="1:64" s="28" customFormat="1" x14ac:dyDescent="0.2">
      <c r="A105" s="34"/>
      <c r="C105" s="29"/>
      <c r="D105" s="29"/>
      <c r="E105" s="29"/>
      <c r="F105" s="29"/>
      <c r="AV105" s="29"/>
      <c r="AW105" s="29"/>
      <c r="AX105" s="29"/>
      <c r="BF105" s="29"/>
    </row>
    <row r="106" spans="1:64" s="28" customFormat="1" x14ac:dyDescent="0.2">
      <c r="A106" s="34"/>
      <c r="C106" s="29"/>
      <c r="D106" s="29"/>
      <c r="E106" s="29"/>
      <c r="F106" s="29"/>
      <c r="AV106" s="29"/>
      <c r="AW106" s="29"/>
      <c r="BA106" s="29"/>
      <c r="BB106" s="29"/>
      <c r="BC106" s="29"/>
      <c r="BE106" s="29"/>
      <c r="BG106" s="29"/>
      <c r="BH106" s="29"/>
      <c r="BK106" s="29"/>
      <c r="BL106" s="29"/>
    </row>
    <row r="107" spans="1:64" s="28" customFormat="1" x14ac:dyDescent="0.2">
      <c r="A107" s="34"/>
      <c r="B107" s="29"/>
      <c r="C107" s="29"/>
      <c r="D107" s="29"/>
      <c r="E107" s="29"/>
      <c r="F107" s="29"/>
      <c r="AV107" s="29"/>
      <c r="AW107" s="29"/>
      <c r="AX107" s="29"/>
      <c r="BF107" s="29"/>
      <c r="BG107" s="29"/>
      <c r="BL107" s="29"/>
    </row>
    <row r="108" spans="1:64" s="28" customFormat="1" x14ac:dyDescent="0.2">
      <c r="A108" s="34"/>
      <c r="B108" s="29"/>
      <c r="C108" s="29"/>
      <c r="D108" s="29"/>
      <c r="E108" s="29"/>
      <c r="F108" s="29"/>
      <c r="AV108" s="29"/>
      <c r="AW108" s="29"/>
      <c r="AX108" s="29"/>
      <c r="BG108" s="29"/>
    </row>
    <row r="109" spans="1:64" s="28" customFormat="1" x14ac:dyDescent="0.2">
      <c r="A109" s="34"/>
      <c r="B109" s="29"/>
      <c r="C109" s="29"/>
      <c r="D109" s="29"/>
      <c r="E109" s="29"/>
      <c r="F109" s="29"/>
      <c r="AV109" s="29"/>
      <c r="AW109" s="29"/>
      <c r="AX109" s="29"/>
      <c r="BA109" s="29"/>
      <c r="BB109" s="29"/>
      <c r="BC109" s="29"/>
      <c r="BE109" s="29"/>
      <c r="BG109" s="29"/>
      <c r="BI109" s="29"/>
    </row>
    <row r="110" spans="1:64" s="28" customFormat="1" x14ac:dyDescent="0.2">
      <c r="A110" s="34"/>
      <c r="B110" s="29"/>
      <c r="C110" s="29"/>
      <c r="D110" s="29"/>
      <c r="E110" s="29"/>
      <c r="F110" s="29"/>
      <c r="AV110" s="29"/>
      <c r="AW110" s="29"/>
      <c r="AX110" s="29"/>
      <c r="BD110" s="29"/>
      <c r="BH110" s="29"/>
    </row>
    <row r="111" spans="1:64" s="28" customFormat="1" x14ac:dyDescent="0.2">
      <c r="A111" s="34"/>
      <c r="B111" s="29"/>
      <c r="C111" s="16"/>
      <c r="D111" s="29"/>
      <c r="E111" s="29"/>
      <c r="F111" s="29"/>
      <c r="BF111" s="29"/>
      <c r="BH111" s="29"/>
    </row>
    <row r="112" spans="1:64" s="24" customFormat="1" x14ac:dyDescent="0.2">
      <c r="A112" s="43"/>
      <c r="C112" s="16"/>
      <c r="D112" s="16"/>
      <c r="E112" s="29"/>
      <c r="F112" s="29"/>
      <c r="AW112" s="16"/>
      <c r="AZ112" s="16"/>
      <c r="BF112" s="16"/>
      <c r="BJ112" s="28"/>
    </row>
    <row r="113" spans="1:64" s="28" customFormat="1" x14ac:dyDescent="0.2">
      <c r="A113" s="34"/>
      <c r="C113" s="29"/>
      <c r="D113" s="29"/>
      <c r="E113" s="29"/>
      <c r="F113" s="29"/>
      <c r="AW113" s="29"/>
      <c r="AX113" s="29"/>
      <c r="BA113" s="29"/>
      <c r="BB113" s="29"/>
      <c r="BC113" s="29"/>
      <c r="BE113" s="29"/>
      <c r="BG113" s="29"/>
      <c r="BK113" s="29"/>
      <c r="BL113" s="29"/>
    </row>
    <row r="114" spans="1:64" s="28" customFormat="1" x14ac:dyDescent="0.2">
      <c r="A114" s="34"/>
      <c r="C114" s="29"/>
      <c r="D114" s="29"/>
      <c r="E114" s="29"/>
      <c r="F114" s="29"/>
      <c r="AW114" s="29"/>
      <c r="AX114" s="29"/>
      <c r="BA114" s="29"/>
      <c r="BB114" s="29"/>
      <c r="BC114" s="29"/>
      <c r="BE114" s="29"/>
      <c r="BG114" s="29"/>
      <c r="BK114" s="29"/>
      <c r="BL114" s="29"/>
    </row>
    <row r="115" spans="1:64" s="28" customFormat="1" x14ac:dyDescent="0.2">
      <c r="A115" s="34"/>
      <c r="C115" s="29"/>
      <c r="D115" s="29"/>
      <c r="E115" s="29"/>
      <c r="F115" s="29"/>
    </row>
    <row r="116" spans="1:64" s="28" customFormat="1" x14ac:dyDescent="0.2">
      <c r="A116" s="34"/>
      <c r="C116" s="29"/>
      <c r="D116" s="29"/>
      <c r="E116" s="29"/>
      <c r="F116" s="29"/>
      <c r="BL116" s="29"/>
    </row>
    <row r="117" spans="1:64" s="28" customFormat="1" x14ac:dyDescent="0.2">
      <c r="A117" s="34"/>
      <c r="B117" s="29"/>
      <c r="C117" s="29"/>
      <c r="D117" s="29"/>
      <c r="E117" s="29"/>
      <c r="F117" s="29"/>
      <c r="BA117" s="29"/>
      <c r="BK117" s="29"/>
    </row>
    <row r="118" spans="1:64" s="28" customFormat="1" x14ac:dyDescent="0.2">
      <c r="A118" s="34"/>
      <c r="C118" s="29"/>
      <c r="D118" s="29"/>
      <c r="E118" s="29"/>
      <c r="F118" s="29"/>
      <c r="BA118" s="29"/>
      <c r="BB118" s="29"/>
      <c r="BC118" s="29"/>
      <c r="BE118" s="29"/>
      <c r="BG118" s="29"/>
    </row>
    <row r="119" spans="1:64" s="28" customFormat="1" x14ac:dyDescent="0.2">
      <c r="A119" s="34"/>
      <c r="B119" s="29"/>
      <c r="C119" s="29"/>
      <c r="D119" s="29"/>
      <c r="F119" s="29"/>
      <c r="AX119" s="29"/>
      <c r="BA119" s="29"/>
      <c r="BB119" s="29"/>
    </row>
    <row r="120" spans="1:64" s="28" customFormat="1" x14ac:dyDescent="0.2">
      <c r="A120" s="34"/>
      <c r="C120" s="29"/>
      <c r="D120" s="29"/>
      <c r="E120" s="29"/>
      <c r="F120" s="29"/>
      <c r="BA120" s="29"/>
      <c r="BB120" s="29"/>
      <c r="BC120" s="29"/>
    </row>
    <row r="121" spans="1:64" s="28" customFormat="1" x14ac:dyDescent="0.2">
      <c r="A121" s="34"/>
      <c r="C121" s="29"/>
      <c r="D121" s="29"/>
      <c r="E121" s="29"/>
      <c r="F121" s="29"/>
      <c r="BA121" s="29"/>
      <c r="BB121" s="29"/>
      <c r="BC121" s="29"/>
    </row>
    <row r="122" spans="1:64" s="28" customFormat="1" x14ac:dyDescent="0.2">
      <c r="A122" s="34"/>
      <c r="C122" s="29"/>
      <c r="D122" s="29"/>
      <c r="BA122" s="29"/>
      <c r="BB122" s="29"/>
      <c r="BC122" s="29"/>
      <c r="BE122" s="29"/>
      <c r="BG122" s="29"/>
      <c r="BK122" s="29"/>
      <c r="BL122" s="29"/>
    </row>
    <row r="123" spans="1:64" s="28" customFormat="1" x14ac:dyDescent="0.2">
      <c r="A123" s="34"/>
      <c r="C123" s="29"/>
      <c r="D123" s="29"/>
      <c r="BA123" s="29"/>
      <c r="BB123" s="29"/>
      <c r="BE123" s="29"/>
      <c r="BF123" s="29"/>
      <c r="BG123" s="29"/>
      <c r="BK123" s="29"/>
      <c r="BL123" s="29"/>
    </row>
    <row r="124" spans="1:64" s="28" customFormat="1" x14ac:dyDescent="0.2">
      <c r="A124" s="34"/>
      <c r="B124" s="29"/>
      <c r="C124" s="29"/>
      <c r="D124" s="29"/>
      <c r="E124" s="29"/>
      <c r="F124" s="29"/>
      <c r="BA124" s="29"/>
      <c r="BB124" s="29"/>
      <c r="BC124" s="29"/>
    </row>
    <row r="125" spans="1:64" s="28" customFormat="1" x14ac:dyDescent="0.2">
      <c r="A125" s="34"/>
      <c r="B125" s="29"/>
      <c r="C125" s="29"/>
      <c r="D125" s="29"/>
      <c r="E125" s="29"/>
      <c r="F125" s="29"/>
      <c r="BA125" s="29"/>
      <c r="BB125" s="29"/>
      <c r="BC125" s="29"/>
    </row>
    <row r="126" spans="1:64" s="28" customFormat="1" x14ac:dyDescent="0.2">
      <c r="A126" s="34"/>
      <c r="B126" s="29"/>
      <c r="C126" s="29"/>
      <c r="D126" s="29"/>
      <c r="BA126" s="29"/>
      <c r="BB126" s="29"/>
      <c r="BC126" s="29"/>
      <c r="BK126" s="29"/>
    </row>
    <row r="127" spans="1:64" s="28" customFormat="1" x14ac:dyDescent="0.2">
      <c r="A127" s="34"/>
      <c r="B127" s="29"/>
      <c r="C127" s="29"/>
      <c r="D127" s="29"/>
      <c r="E127" s="29"/>
      <c r="F127" s="29"/>
      <c r="BA127" s="29"/>
      <c r="BB127" s="29"/>
      <c r="BC127" s="29"/>
      <c r="BE127" s="29"/>
    </row>
    <row r="128" spans="1:64" s="28" customFormat="1" x14ac:dyDescent="0.2">
      <c r="A128" s="34"/>
      <c r="B128" s="29"/>
      <c r="C128" s="29"/>
      <c r="D128" s="29"/>
      <c r="E128" s="29"/>
      <c r="F128" s="29"/>
      <c r="BA128" s="29"/>
      <c r="BB128" s="29"/>
      <c r="BC128" s="29"/>
      <c r="BE128" s="29"/>
      <c r="BG128" s="29"/>
      <c r="BJ128" s="29"/>
      <c r="BK128" s="29"/>
      <c r="BL128" s="29"/>
    </row>
    <row r="129" spans="1:64" s="28" customFormat="1" x14ac:dyDescent="0.2">
      <c r="A129" s="34"/>
      <c r="C129" s="29"/>
      <c r="D129" s="29"/>
      <c r="E129" s="29"/>
      <c r="F129" s="29"/>
      <c r="BA129" s="29"/>
    </row>
    <row r="130" spans="1:64" s="28" customFormat="1" x14ac:dyDescent="0.2">
      <c r="A130" s="34"/>
      <c r="C130" s="29"/>
      <c r="D130" s="29"/>
      <c r="E130" s="29"/>
      <c r="F130" s="29"/>
      <c r="BA130" s="29"/>
      <c r="BB130" s="29"/>
      <c r="BC130" s="29"/>
      <c r="BE130" s="29"/>
    </row>
    <row r="131" spans="1:64" s="28" customFormat="1" x14ac:dyDescent="0.2">
      <c r="A131" s="34"/>
      <c r="C131" s="29"/>
      <c r="D131" s="29"/>
      <c r="E131" s="29"/>
      <c r="F131" s="29"/>
    </row>
    <row r="132" spans="1:64" s="28" customFormat="1" x14ac:dyDescent="0.2">
      <c r="A132" s="34"/>
      <c r="C132" s="29"/>
      <c r="D132" s="22"/>
      <c r="E132" s="29"/>
      <c r="F132" s="29"/>
      <c r="BB132" s="29"/>
      <c r="BC132" s="29"/>
      <c r="BE132" s="29"/>
      <c r="BG132" s="29"/>
      <c r="BL132" s="29"/>
    </row>
    <row r="133" spans="1:64" s="28" customFormat="1" x14ac:dyDescent="0.2">
      <c r="A133" s="34"/>
      <c r="C133" s="29"/>
      <c r="D133" s="22"/>
      <c r="E133" s="29"/>
      <c r="F133" s="29"/>
      <c r="BB133" s="29"/>
    </row>
    <row r="134" spans="1:64" s="28" customFormat="1" x14ac:dyDescent="0.2">
      <c r="A134" s="34"/>
      <c r="C134" s="29"/>
      <c r="D134" s="29"/>
    </row>
    <row r="135" spans="1:64" s="28" customFormat="1" x14ac:dyDescent="0.2">
      <c r="A135" s="34"/>
      <c r="C135" s="29"/>
      <c r="D135" s="29"/>
      <c r="E135" s="29"/>
      <c r="F135" s="29"/>
      <c r="BC135" s="29"/>
      <c r="BE135" s="29"/>
      <c r="BG135" s="29"/>
      <c r="BK135" s="29"/>
      <c r="BL135" s="29"/>
    </row>
    <row r="136" spans="1:64" s="28" customFormat="1" x14ac:dyDescent="0.2">
      <c r="A136" s="34"/>
      <c r="C136" s="29"/>
      <c r="D136" s="22"/>
      <c r="E136" s="22"/>
      <c r="F136" s="22"/>
      <c r="BC136" s="29"/>
      <c r="BE136" s="29"/>
      <c r="BG136" s="29"/>
    </row>
    <row r="137" spans="1:64" s="28" customFormat="1" x14ac:dyDescent="0.2">
      <c r="A137" s="34"/>
      <c r="C137" s="29"/>
      <c r="D137" s="29"/>
      <c r="BC137" s="29"/>
      <c r="BE137" s="29"/>
      <c r="BG137" s="29"/>
      <c r="BK137" s="29"/>
      <c r="BL137" s="29"/>
    </row>
    <row r="138" spans="1:64" s="28" customFormat="1" x14ac:dyDescent="0.2">
      <c r="A138" s="34"/>
      <c r="B138" s="29"/>
      <c r="C138" s="29"/>
      <c r="D138" s="29"/>
      <c r="E138" s="22"/>
      <c r="F138" s="22"/>
      <c r="BC138" s="29"/>
      <c r="BE138" s="29"/>
      <c r="BG138" s="29"/>
      <c r="BK138" s="29"/>
      <c r="BL138" s="29"/>
    </row>
    <row r="139" spans="1:64" s="28" customFormat="1" x14ac:dyDescent="0.2">
      <c r="A139" s="34"/>
      <c r="C139" s="29"/>
      <c r="D139" s="29"/>
      <c r="E139" s="29"/>
      <c r="F139" s="29"/>
      <c r="BC139" s="29"/>
      <c r="BE139" s="29"/>
      <c r="BG139" s="29"/>
      <c r="BK139" s="29"/>
      <c r="BL139" s="29"/>
    </row>
    <row r="140" spans="1:64" s="28" customFormat="1" x14ac:dyDescent="0.2">
      <c r="A140" s="34"/>
      <c r="C140" s="29"/>
      <c r="D140" s="29"/>
      <c r="E140" s="29"/>
      <c r="F140" s="29"/>
      <c r="BC140" s="29"/>
      <c r="BE140" s="29"/>
      <c r="BG140" s="29"/>
      <c r="BK140" s="29"/>
      <c r="BL140" s="29"/>
    </row>
    <row r="141" spans="1:64" s="28" customFormat="1" x14ac:dyDescent="0.2">
      <c r="A141" s="34"/>
      <c r="C141" s="29"/>
      <c r="D141" s="29"/>
      <c r="E141" s="29"/>
      <c r="F141" s="29"/>
      <c r="BE141" s="29"/>
    </row>
    <row r="142" spans="1:64" s="28" customFormat="1" x14ac:dyDescent="0.2">
      <c r="A142" s="34"/>
      <c r="C142" s="29"/>
      <c r="D142" s="29"/>
      <c r="BG142" s="29"/>
    </row>
    <row r="143" spans="1:64" s="28" customFormat="1" x14ac:dyDescent="0.2">
      <c r="A143" s="34"/>
      <c r="C143" s="29"/>
      <c r="D143" s="29"/>
      <c r="E143" s="29"/>
      <c r="F143" s="29"/>
      <c r="BE143" s="29"/>
      <c r="BG143" s="29"/>
    </row>
    <row r="144" spans="1:64" s="28" customFormat="1" x14ac:dyDescent="0.2">
      <c r="A144" s="34"/>
      <c r="C144" s="29"/>
      <c r="D144" s="29"/>
      <c r="E144" s="29"/>
      <c r="F144" s="29"/>
      <c r="BE144" s="29"/>
      <c r="BG144" s="29"/>
      <c r="BK144" s="29"/>
      <c r="BL144" s="29"/>
    </row>
    <row r="145" spans="1:64" s="28" customFormat="1" x14ac:dyDescent="0.2">
      <c r="A145" s="34"/>
      <c r="C145" s="29"/>
      <c r="D145" s="22"/>
    </row>
    <row r="146" spans="1:64" s="28" customFormat="1" x14ac:dyDescent="0.2">
      <c r="A146" s="34"/>
      <c r="B146" s="29"/>
      <c r="D146" s="29"/>
      <c r="E146" s="29"/>
      <c r="F146" s="29"/>
      <c r="BG146" s="29"/>
    </row>
    <row r="147" spans="1:64" s="28" customFormat="1" x14ac:dyDescent="0.2">
      <c r="A147" s="34"/>
      <c r="C147" s="29"/>
      <c r="D147" s="29"/>
      <c r="E147" s="29"/>
      <c r="F147" s="29"/>
    </row>
    <row r="148" spans="1:64" s="28" customFormat="1" x14ac:dyDescent="0.2">
      <c r="A148" s="34"/>
      <c r="C148" s="29"/>
      <c r="D148" s="29"/>
    </row>
    <row r="149" spans="1:64" s="28" customFormat="1" x14ac:dyDescent="0.2">
      <c r="A149" s="34"/>
      <c r="C149" s="29"/>
      <c r="D149" s="29"/>
    </row>
    <row r="150" spans="1:64" s="28" customFormat="1" x14ac:dyDescent="0.2">
      <c r="A150" s="34"/>
      <c r="C150" s="29"/>
      <c r="D150" s="29"/>
      <c r="BK150" s="29"/>
    </row>
    <row r="151" spans="1:64" s="28" customFormat="1" x14ac:dyDescent="0.2">
      <c r="A151" s="34"/>
      <c r="D151" s="29"/>
      <c r="E151" s="29"/>
      <c r="F151" s="29"/>
      <c r="BK151" s="29"/>
    </row>
    <row r="152" spans="1:64" s="28" customFormat="1" x14ac:dyDescent="0.2">
      <c r="A152" s="34"/>
      <c r="C152" s="29"/>
      <c r="D152" s="22"/>
      <c r="E152" s="29"/>
      <c r="F152" s="29"/>
      <c r="BK152" s="29"/>
      <c r="BL152" s="29"/>
    </row>
    <row r="153" spans="1:64" s="28" customFormat="1" x14ac:dyDescent="0.2">
      <c r="A153" s="34"/>
      <c r="C153" s="29"/>
      <c r="D153" s="29"/>
      <c r="E153" s="29"/>
      <c r="F153" s="29"/>
    </row>
    <row r="154" spans="1:64" s="24" customFormat="1" x14ac:dyDescent="0.2">
      <c r="A154" s="43"/>
      <c r="C154" s="16"/>
      <c r="D154" s="16"/>
      <c r="E154" s="16"/>
      <c r="F154" s="16"/>
    </row>
    <row r="155" spans="1:64" s="24" customFormat="1" x14ac:dyDescent="0.2">
      <c r="A155" s="43"/>
      <c r="C155" s="16"/>
      <c r="D155" s="16"/>
      <c r="E155" s="16"/>
      <c r="F155" s="16"/>
    </row>
    <row r="156" spans="1:64" s="24" customFormat="1" x14ac:dyDescent="0.2">
      <c r="A156" s="43"/>
      <c r="C156" s="16"/>
      <c r="D156" s="16"/>
    </row>
    <row r="157" spans="1:64" s="24" customFormat="1" x14ac:dyDescent="0.2">
      <c r="A157" s="43"/>
      <c r="C157" s="16"/>
      <c r="D157" s="16"/>
    </row>
    <row r="158" spans="1:64" s="24" customFormat="1" x14ac:dyDescent="0.2">
      <c r="A158" s="43"/>
      <c r="D158" s="16"/>
    </row>
    <row r="159" spans="1:64" s="24" customFormat="1" x14ac:dyDescent="0.2">
      <c r="A159" s="43"/>
      <c r="D159" s="16"/>
    </row>
    <row r="160" spans="1:64" s="24" customFormat="1" x14ac:dyDescent="0.2">
      <c r="A160" s="43"/>
      <c r="D160" s="16"/>
    </row>
    <row r="161" spans="1:112" s="24" customFormat="1" x14ac:dyDescent="0.2">
      <c r="A161" s="25"/>
      <c r="B161" s="25"/>
      <c r="D161" s="16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  <c r="CQ161" s="25"/>
      <c r="CR161" s="25"/>
      <c r="CS161" s="25"/>
      <c r="CT161" s="25"/>
      <c r="CU161" s="25"/>
      <c r="CV161" s="25"/>
      <c r="CW161" s="25"/>
      <c r="CX161" s="25"/>
      <c r="CY161" s="25"/>
      <c r="CZ161" s="25"/>
      <c r="DA161" s="25"/>
      <c r="DB161" s="25"/>
      <c r="DC161" s="25"/>
      <c r="DD161" s="25"/>
      <c r="DE161" s="25"/>
      <c r="DF161" s="25"/>
      <c r="DG161" s="25"/>
      <c r="DH161" s="25"/>
    </row>
    <row r="162" spans="1:112" s="24" customFormat="1" x14ac:dyDescent="0.2">
      <c r="A162" s="43"/>
      <c r="D162" s="16"/>
    </row>
    <row r="163" spans="1:112" s="24" customFormat="1" x14ac:dyDescent="0.2">
      <c r="A163" s="43"/>
      <c r="D163" s="16"/>
    </row>
    <row r="164" spans="1:112" s="24" customFormat="1" x14ac:dyDescent="0.2">
      <c r="A164" s="43"/>
      <c r="D164" s="16"/>
    </row>
    <row r="165" spans="1:112" s="24" customFormat="1" x14ac:dyDescent="0.2">
      <c r="A165" s="43"/>
      <c r="D165" s="16"/>
    </row>
    <row r="166" spans="1:112" s="24" customFormat="1" x14ac:dyDescent="0.2">
      <c r="A166" s="43"/>
      <c r="D166" s="16"/>
    </row>
    <row r="167" spans="1:112" s="24" customFormat="1" x14ac:dyDescent="0.2">
      <c r="A167" s="43"/>
      <c r="D167" s="16"/>
    </row>
    <row r="168" spans="1:112" s="24" customFormat="1" x14ac:dyDescent="0.2">
      <c r="A168" s="43"/>
      <c r="D168" s="16"/>
    </row>
    <row r="169" spans="1:112" s="24" customFormat="1" x14ac:dyDescent="0.2">
      <c r="A169" s="43"/>
      <c r="D169" s="16"/>
    </row>
    <row r="170" spans="1:112" s="24" customFormat="1" x14ac:dyDescent="0.2">
      <c r="A170" s="43"/>
      <c r="D170" s="16"/>
    </row>
    <row r="171" spans="1:112" s="28" customFormat="1" x14ac:dyDescent="0.2">
      <c r="A171" s="34"/>
      <c r="D171" s="29"/>
    </row>
    <row r="172" spans="1:112" s="28" customFormat="1" x14ac:dyDescent="0.2">
      <c r="A172" s="34"/>
      <c r="D172" s="29"/>
    </row>
    <row r="173" spans="1:112" s="28" customFormat="1" x14ac:dyDescent="0.2">
      <c r="A173" s="34"/>
      <c r="D173" s="29"/>
    </row>
    <row r="174" spans="1:112" s="28" customFormat="1" x14ac:dyDescent="0.2">
      <c r="A174" s="34"/>
      <c r="D174" s="29"/>
    </row>
    <row r="175" spans="1:112" s="28" customFormat="1" x14ac:dyDescent="0.2">
      <c r="A175" s="34"/>
      <c r="D175" s="29"/>
    </row>
    <row r="176" spans="1:112" s="28" customFormat="1" x14ac:dyDescent="0.2">
      <c r="A176" s="34"/>
      <c r="D176" s="29"/>
    </row>
    <row r="177" spans="1:4" s="28" customFormat="1" x14ac:dyDescent="0.2">
      <c r="A177" s="34"/>
      <c r="D177" s="29"/>
    </row>
    <row r="178" spans="1:4" s="28" customFormat="1" x14ac:dyDescent="0.2">
      <c r="A178" s="34"/>
      <c r="D178" s="29"/>
    </row>
    <row r="179" spans="1:4" s="28" customFormat="1" x14ac:dyDescent="0.2">
      <c r="A179" s="34"/>
      <c r="D179" s="29"/>
    </row>
    <row r="180" spans="1:4" s="28" customFormat="1" x14ac:dyDescent="0.2">
      <c r="A180" s="34"/>
      <c r="D180" s="29"/>
    </row>
    <row r="181" spans="1:4" s="28" customFormat="1" x14ac:dyDescent="0.2">
      <c r="A181" s="34"/>
      <c r="D181" s="29"/>
    </row>
    <row r="182" spans="1:4" s="28" customFormat="1" x14ac:dyDescent="0.2">
      <c r="A182" s="34"/>
      <c r="D182" s="29"/>
    </row>
    <row r="183" spans="1:4" s="28" customFormat="1" x14ac:dyDescent="0.2">
      <c r="A183" s="34"/>
      <c r="D183" s="29"/>
    </row>
    <row r="184" spans="1:4" s="28" customFormat="1" x14ac:dyDescent="0.2">
      <c r="A184" s="34"/>
      <c r="D184" s="29"/>
    </row>
    <row r="185" spans="1:4" s="28" customFormat="1" x14ac:dyDescent="0.2">
      <c r="A185" s="34"/>
      <c r="D185" s="29"/>
    </row>
    <row r="186" spans="1:4" s="28" customFormat="1" x14ac:dyDescent="0.2">
      <c r="A186" s="34"/>
      <c r="D186" s="29"/>
    </row>
    <row r="187" spans="1:4" s="28" customFormat="1" x14ac:dyDescent="0.2">
      <c r="A187" s="34"/>
      <c r="D187" s="29"/>
    </row>
    <row r="188" spans="1:4" s="28" customFormat="1" x14ac:dyDescent="0.2">
      <c r="A188" s="34"/>
      <c r="D188" s="29"/>
    </row>
    <row r="189" spans="1:4" s="28" customFormat="1" x14ac:dyDescent="0.2">
      <c r="A189" s="34"/>
      <c r="D189" s="29"/>
    </row>
    <row r="190" spans="1:4" s="28" customFormat="1" x14ac:dyDescent="0.2">
      <c r="A190" s="34"/>
      <c r="D190" s="29"/>
    </row>
    <row r="191" spans="1:4" s="28" customFormat="1" x14ac:dyDescent="0.2">
      <c r="A191" s="34"/>
      <c r="D191" s="29"/>
    </row>
    <row r="192" spans="1:4" s="28" customFormat="1" x14ac:dyDescent="0.2">
      <c r="A192" s="34"/>
      <c r="D192" s="29"/>
    </row>
    <row r="193" spans="1:4" s="28" customFormat="1" x14ac:dyDescent="0.2">
      <c r="A193" s="34"/>
      <c r="D193" s="29"/>
    </row>
    <row r="194" spans="1:4" s="28" customFormat="1" x14ac:dyDescent="0.2">
      <c r="A194" s="34"/>
      <c r="D194" s="29"/>
    </row>
    <row r="195" spans="1:4" s="28" customFormat="1" x14ac:dyDescent="0.2">
      <c r="A195" s="34"/>
      <c r="D195" s="29"/>
    </row>
    <row r="196" spans="1:4" s="28" customFormat="1" x14ac:dyDescent="0.2">
      <c r="A196" s="34"/>
      <c r="D196" s="29"/>
    </row>
    <row r="197" spans="1:4" s="28" customFormat="1" x14ac:dyDescent="0.2">
      <c r="A197" s="34"/>
      <c r="D197" s="29"/>
    </row>
    <row r="198" spans="1:4" s="28" customFormat="1" x14ac:dyDescent="0.2">
      <c r="A198" s="34"/>
      <c r="D198" s="29"/>
    </row>
    <row r="199" spans="1:4" s="28" customFormat="1" x14ac:dyDescent="0.2">
      <c r="A199" s="34"/>
      <c r="D199" s="29"/>
    </row>
    <row r="200" spans="1:4" s="28" customFormat="1" x14ac:dyDescent="0.2">
      <c r="A200" s="34"/>
      <c r="D200" s="29"/>
    </row>
    <row r="201" spans="1:4" s="28" customFormat="1" x14ac:dyDescent="0.2">
      <c r="A201" s="34"/>
      <c r="D201" s="29"/>
    </row>
    <row r="202" spans="1:4" s="28" customFormat="1" x14ac:dyDescent="0.2">
      <c r="A202" s="34"/>
      <c r="D202" s="29"/>
    </row>
    <row r="203" spans="1:4" s="28" customFormat="1" x14ac:dyDescent="0.2">
      <c r="A203" s="34"/>
      <c r="D203" s="29"/>
    </row>
    <row r="204" spans="1:4" s="28" customFormat="1" x14ac:dyDescent="0.2">
      <c r="A204" s="34"/>
      <c r="D204" s="29"/>
    </row>
    <row r="205" spans="1:4" s="28" customFormat="1" x14ac:dyDescent="0.2">
      <c r="A205" s="34"/>
      <c r="D205" s="29"/>
    </row>
    <row r="206" spans="1:4" s="28" customFormat="1" x14ac:dyDescent="0.2">
      <c r="A206" s="34"/>
      <c r="D206" s="29"/>
    </row>
    <row r="207" spans="1:4" s="28" customFormat="1" x14ac:dyDescent="0.2">
      <c r="A207" s="34"/>
      <c r="D207" s="29"/>
    </row>
    <row r="208" spans="1:4" s="28" customFormat="1" x14ac:dyDescent="0.2">
      <c r="A208" s="34"/>
      <c r="D208" s="29"/>
    </row>
    <row r="209" spans="1:4" s="28" customFormat="1" x14ac:dyDescent="0.2">
      <c r="A209" s="34"/>
      <c r="D209" s="29"/>
    </row>
    <row r="210" spans="1:4" s="28" customFormat="1" x14ac:dyDescent="0.2">
      <c r="A210" s="34"/>
      <c r="D210" s="29"/>
    </row>
    <row r="211" spans="1:4" s="28" customFormat="1" x14ac:dyDescent="0.2">
      <c r="A211" s="34"/>
      <c r="D211" s="29"/>
    </row>
    <row r="212" spans="1:4" s="28" customFormat="1" x14ac:dyDescent="0.2">
      <c r="A212" s="34"/>
      <c r="D212" s="29"/>
    </row>
    <row r="213" spans="1:4" s="28" customFormat="1" x14ac:dyDescent="0.2">
      <c r="A213" s="34"/>
      <c r="D213" s="29"/>
    </row>
    <row r="214" spans="1:4" s="28" customFormat="1" x14ac:dyDescent="0.2">
      <c r="A214" s="34"/>
      <c r="D214" s="29"/>
    </row>
    <row r="215" spans="1:4" s="28" customFormat="1" x14ac:dyDescent="0.2">
      <c r="A215" s="34"/>
      <c r="D215" s="29"/>
    </row>
    <row r="216" spans="1:4" s="28" customFormat="1" x14ac:dyDescent="0.2">
      <c r="A216" s="34"/>
      <c r="D216" s="29"/>
    </row>
    <row r="217" spans="1:4" s="28" customFormat="1" x14ac:dyDescent="0.2">
      <c r="A217" s="34"/>
      <c r="D217" s="29"/>
    </row>
    <row r="218" spans="1:4" s="28" customFormat="1" x14ac:dyDescent="0.2">
      <c r="A218" s="34"/>
      <c r="D218" s="29"/>
    </row>
    <row r="219" spans="1:4" s="28" customFormat="1" x14ac:dyDescent="0.2">
      <c r="A219" s="34"/>
      <c r="D219" s="29"/>
    </row>
    <row r="220" spans="1:4" s="28" customFormat="1" x14ac:dyDescent="0.2">
      <c r="A220" s="34"/>
      <c r="D220" s="29"/>
    </row>
    <row r="221" spans="1:4" s="28" customFormat="1" x14ac:dyDescent="0.2">
      <c r="A221" s="34"/>
      <c r="D221" s="29"/>
    </row>
    <row r="222" spans="1:4" s="28" customFormat="1" x14ac:dyDescent="0.2">
      <c r="A222" s="34"/>
      <c r="D222" s="29"/>
    </row>
    <row r="223" spans="1:4" s="28" customFormat="1" x14ac:dyDescent="0.2">
      <c r="A223" s="34"/>
      <c r="D223" s="29"/>
    </row>
    <row r="224" spans="1:4" s="28" customFormat="1" x14ac:dyDescent="0.2">
      <c r="A224" s="34"/>
      <c r="D224" s="29"/>
    </row>
    <row r="225" spans="1:4" s="28" customFormat="1" x14ac:dyDescent="0.2">
      <c r="A225" s="34"/>
      <c r="D225" s="29"/>
    </row>
    <row r="226" spans="1:4" s="28" customFormat="1" x14ac:dyDescent="0.2">
      <c r="A226" s="34"/>
      <c r="D226" s="29"/>
    </row>
    <row r="227" spans="1:4" s="28" customFormat="1" x14ac:dyDescent="0.2">
      <c r="A227" s="34"/>
      <c r="D227" s="29"/>
    </row>
    <row r="228" spans="1:4" s="28" customFormat="1" x14ac:dyDescent="0.2">
      <c r="A228" s="34"/>
      <c r="D228" s="29"/>
    </row>
    <row r="229" spans="1:4" s="28" customFormat="1" x14ac:dyDescent="0.2">
      <c r="A229" s="34"/>
      <c r="D229" s="29"/>
    </row>
    <row r="230" spans="1:4" s="28" customFormat="1" x14ac:dyDescent="0.2">
      <c r="A230" s="34"/>
      <c r="D230" s="29"/>
    </row>
    <row r="231" spans="1:4" s="28" customFormat="1" x14ac:dyDescent="0.2">
      <c r="A231" s="34"/>
      <c r="D231" s="29"/>
    </row>
    <row r="232" spans="1:4" s="28" customFormat="1" x14ac:dyDescent="0.2">
      <c r="A232" s="34"/>
      <c r="D232" s="29"/>
    </row>
    <row r="233" spans="1:4" s="28" customFormat="1" x14ac:dyDescent="0.2">
      <c r="A233" s="34"/>
      <c r="D233" s="29"/>
    </row>
    <row r="234" spans="1:4" s="28" customFormat="1" x14ac:dyDescent="0.2">
      <c r="A234" s="34"/>
      <c r="D234" s="29"/>
    </row>
    <row r="235" spans="1:4" s="28" customFormat="1" x14ac:dyDescent="0.2">
      <c r="A235" s="34"/>
      <c r="D235" s="29"/>
    </row>
    <row r="236" spans="1:4" s="28" customFormat="1" x14ac:dyDescent="0.2">
      <c r="A236" s="34"/>
      <c r="D236" s="29"/>
    </row>
    <row r="237" spans="1:4" s="28" customFormat="1" x14ac:dyDescent="0.2">
      <c r="A237" s="34"/>
      <c r="D237" s="29"/>
    </row>
    <row r="238" spans="1:4" s="28" customFormat="1" x14ac:dyDescent="0.2">
      <c r="A238" s="34"/>
      <c r="D238" s="29"/>
    </row>
    <row r="239" spans="1:4" s="28" customFormat="1" x14ac:dyDescent="0.2">
      <c r="A239" s="34"/>
      <c r="D239" s="29"/>
    </row>
    <row r="240" spans="1:4" s="28" customFormat="1" x14ac:dyDescent="0.2">
      <c r="A240" s="34"/>
      <c r="D240" s="29"/>
    </row>
    <row r="241" spans="1:4" s="28" customFormat="1" x14ac:dyDescent="0.2">
      <c r="A241" s="34"/>
      <c r="D241" s="29"/>
    </row>
    <row r="242" spans="1:4" s="28" customFormat="1" x14ac:dyDescent="0.2">
      <c r="A242" s="34"/>
      <c r="D242" s="29"/>
    </row>
    <row r="243" spans="1:4" s="28" customFormat="1" x14ac:dyDescent="0.2">
      <c r="A243" s="34"/>
      <c r="D243" s="29"/>
    </row>
    <row r="244" spans="1:4" s="28" customFormat="1" x14ac:dyDescent="0.2">
      <c r="A244" s="34"/>
      <c r="D244" s="29"/>
    </row>
    <row r="245" spans="1:4" s="28" customFormat="1" x14ac:dyDescent="0.2">
      <c r="A245" s="34"/>
      <c r="D245" s="29"/>
    </row>
    <row r="246" spans="1:4" s="28" customFormat="1" x14ac:dyDescent="0.2">
      <c r="A246" s="34"/>
      <c r="D246" s="29"/>
    </row>
    <row r="247" spans="1:4" s="28" customFormat="1" x14ac:dyDescent="0.2">
      <c r="A247" s="34"/>
      <c r="D247" s="29"/>
    </row>
    <row r="248" spans="1:4" s="28" customFormat="1" x14ac:dyDescent="0.2">
      <c r="A248" s="34"/>
      <c r="D248" s="29"/>
    </row>
    <row r="249" spans="1:4" s="28" customFormat="1" x14ac:dyDescent="0.2">
      <c r="A249" s="34"/>
      <c r="D249" s="29"/>
    </row>
    <row r="250" spans="1:4" s="28" customFormat="1" x14ac:dyDescent="0.2">
      <c r="A250" s="34"/>
      <c r="D250" s="29"/>
    </row>
    <row r="251" spans="1:4" s="28" customFormat="1" x14ac:dyDescent="0.2">
      <c r="A251" s="34"/>
      <c r="D251" s="29"/>
    </row>
    <row r="252" spans="1:4" s="28" customFormat="1" x14ac:dyDescent="0.2">
      <c r="A252" s="34"/>
      <c r="D252" s="29"/>
    </row>
    <row r="253" spans="1:4" s="28" customFormat="1" x14ac:dyDescent="0.2">
      <c r="A253" s="34"/>
      <c r="D253" s="29"/>
    </row>
    <row r="254" spans="1:4" s="28" customFormat="1" x14ac:dyDescent="0.2">
      <c r="A254" s="34"/>
      <c r="D254" s="29"/>
    </row>
    <row r="255" spans="1:4" s="28" customFormat="1" x14ac:dyDescent="0.2">
      <c r="A255" s="34"/>
      <c r="D255" s="29"/>
    </row>
    <row r="256" spans="1:4" s="28" customFormat="1" x14ac:dyDescent="0.2">
      <c r="A256" s="34"/>
      <c r="D256" s="29"/>
    </row>
    <row r="257" spans="1:4" s="28" customFormat="1" x14ac:dyDescent="0.2">
      <c r="A257" s="34"/>
      <c r="D257" s="29"/>
    </row>
    <row r="258" spans="1:4" s="28" customFormat="1" x14ac:dyDescent="0.2">
      <c r="A258" s="34"/>
      <c r="D258" s="29"/>
    </row>
    <row r="259" spans="1:4" s="28" customFormat="1" x14ac:dyDescent="0.2">
      <c r="A259" s="34"/>
      <c r="D259" s="29"/>
    </row>
    <row r="260" spans="1:4" s="28" customFormat="1" x14ac:dyDescent="0.2">
      <c r="A260" s="34"/>
      <c r="D260" s="29"/>
    </row>
    <row r="261" spans="1:4" s="28" customFormat="1" x14ac:dyDescent="0.2">
      <c r="A261" s="34"/>
      <c r="D261" s="29"/>
    </row>
    <row r="262" spans="1:4" s="28" customFormat="1" x14ac:dyDescent="0.2">
      <c r="A262" s="34"/>
      <c r="D262" s="29"/>
    </row>
    <row r="263" spans="1:4" s="28" customFormat="1" x14ac:dyDescent="0.2">
      <c r="A263" s="34"/>
      <c r="D263" s="29"/>
    </row>
    <row r="264" spans="1:4" s="28" customFormat="1" x14ac:dyDescent="0.2">
      <c r="A264" s="34"/>
      <c r="D264" s="29"/>
    </row>
    <row r="265" spans="1:4" s="28" customFormat="1" x14ac:dyDescent="0.2">
      <c r="A265" s="34"/>
      <c r="D265" s="29"/>
    </row>
    <row r="266" spans="1:4" s="28" customFormat="1" x14ac:dyDescent="0.2">
      <c r="A266" s="34"/>
      <c r="D266" s="29"/>
    </row>
    <row r="267" spans="1:4" s="28" customFormat="1" x14ac:dyDescent="0.2">
      <c r="A267" s="34"/>
      <c r="D267" s="29"/>
    </row>
    <row r="268" spans="1:4" s="28" customFormat="1" x14ac:dyDescent="0.2">
      <c r="A268" s="34"/>
      <c r="D268" s="29"/>
    </row>
    <row r="269" spans="1:4" s="28" customFormat="1" x14ac:dyDescent="0.2">
      <c r="A269" s="34"/>
      <c r="D269" s="29"/>
    </row>
    <row r="270" spans="1:4" s="28" customFormat="1" x14ac:dyDescent="0.2">
      <c r="A270" s="34"/>
      <c r="D270" s="29"/>
    </row>
    <row r="271" spans="1:4" s="28" customFormat="1" x14ac:dyDescent="0.2">
      <c r="A271" s="34"/>
      <c r="D271" s="29"/>
    </row>
    <row r="272" spans="1:4" s="28" customFormat="1" x14ac:dyDescent="0.2">
      <c r="A272" s="34"/>
      <c r="D272" s="29"/>
    </row>
    <row r="273" spans="1:4" s="28" customFormat="1" x14ac:dyDescent="0.2">
      <c r="A273" s="34"/>
      <c r="D273" s="29"/>
    </row>
    <row r="274" spans="1:4" s="28" customFormat="1" x14ac:dyDescent="0.2">
      <c r="A274" s="34"/>
      <c r="D274" s="29"/>
    </row>
    <row r="275" spans="1:4" s="28" customFormat="1" x14ac:dyDescent="0.2">
      <c r="A275" s="34"/>
      <c r="D275" s="29"/>
    </row>
    <row r="276" spans="1:4" s="28" customFormat="1" x14ac:dyDescent="0.2">
      <c r="A276" s="34"/>
      <c r="D276" s="29"/>
    </row>
    <row r="277" spans="1:4" s="28" customFormat="1" x14ac:dyDescent="0.2">
      <c r="A277" s="34"/>
      <c r="D277" s="29"/>
    </row>
    <row r="278" spans="1:4" s="28" customFormat="1" x14ac:dyDescent="0.2">
      <c r="A278" s="34"/>
      <c r="D278" s="29"/>
    </row>
    <row r="279" spans="1:4" s="28" customFormat="1" x14ac:dyDescent="0.2">
      <c r="A279" s="34"/>
      <c r="D279" s="29"/>
    </row>
    <row r="280" spans="1:4" s="28" customFormat="1" x14ac:dyDescent="0.2">
      <c r="A280" s="34"/>
      <c r="D280" s="29"/>
    </row>
    <row r="281" spans="1:4" s="28" customFormat="1" x14ac:dyDescent="0.2">
      <c r="A281" s="34"/>
      <c r="D281" s="29"/>
    </row>
    <row r="282" spans="1:4" s="28" customFormat="1" x14ac:dyDescent="0.2">
      <c r="A282" s="34"/>
      <c r="D282" s="29"/>
    </row>
    <row r="293" spans="1:102" ht="13.5" thickBot="1" x14ac:dyDescent="0.25"/>
    <row r="294" spans="1:102" s="44" customFormat="1" ht="13.5" thickTop="1" x14ac:dyDescent="0.2">
      <c r="A294" s="34"/>
      <c r="B294" s="28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28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44">
        <f t="shared" ref="CG294:CX294" si="3">COUNTA(CG3:CG293)-COUNTIF(CG3:CG293,"intertidal")</f>
        <v>0</v>
      </c>
      <c r="CH294" s="44">
        <f t="shared" si="3"/>
        <v>0</v>
      </c>
      <c r="CI294" s="44">
        <f t="shared" si="3"/>
        <v>0</v>
      </c>
      <c r="CJ294" s="44">
        <f t="shared" si="3"/>
        <v>0</v>
      </c>
      <c r="CK294" s="44">
        <f t="shared" si="3"/>
        <v>0</v>
      </c>
      <c r="CL294" s="44">
        <f t="shared" si="3"/>
        <v>0</v>
      </c>
      <c r="CM294" s="44">
        <f t="shared" si="3"/>
        <v>0</v>
      </c>
      <c r="CN294" s="44">
        <f t="shared" si="3"/>
        <v>0</v>
      </c>
      <c r="CO294" s="44">
        <f t="shared" si="3"/>
        <v>0</v>
      </c>
      <c r="CP294" s="44">
        <f t="shared" si="3"/>
        <v>0</v>
      </c>
      <c r="CQ294" s="44">
        <f t="shared" si="3"/>
        <v>0</v>
      </c>
      <c r="CR294" s="44">
        <f t="shared" si="3"/>
        <v>0</v>
      </c>
      <c r="CS294" s="44">
        <f t="shared" si="3"/>
        <v>0</v>
      </c>
      <c r="CT294" s="44">
        <f t="shared" si="3"/>
        <v>0</v>
      </c>
      <c r="CU294" s="44">
        <f t="shared" si="3"/>
        <v>0</v>
      </c>
      <c r="CV294" s="44">
        <f t="shared" si="3"/>
        <v>0</v>
      </c>
      <c r="CW294" s="44">
        <f t="shared" si="3"/>
        <v>0</v>
      </c>
      <c r="CX294" s="44">
        <f t="shared" si="3"/>
        <v>0</v>
      </c>
    </row>
    <row r="1048574" spans="4:4" x14ac:dyDescent="0.2">
      <c r="D1048574" s="29"/>
    </row>
  </sheetData>
  <sortState ref="A3:BP81">
    <sortCondition ref="D3"/>
  </sortState>
  <mergeCells count="1">
    <mergeCell ref="D1:F1"/>
  </mergeCells>
  <phoneticPr fontId="7" type="noConversion"/>
  <conditionalFormatting sqref="D69">
    <cfRule type="duplicateValues" dxfId="22" priority="14"/>
  </conditionalFormatting>
  <conditionalFormatting sqref="D69">
    <cfRule type="duplicateValues" dxfId="21" priority="13"/>
  </conditionalFormatting>
  <conditionalFormatting sqref="D70">
    <cfRule type="duplicateValues" dxfId="20" priority="12"/>
  </conditionalFormatting>
  <conditionalFormatting sqref="D70">
    <cfRule type="duplicateValues" dxfId="19" priority="11"/>
  </conditionalFormatting>
  <conditionalFormatting sqref="D1048574:D1048576">
    <cfRule type="duplicateValues" dxfId="18" priority="1"/>
  </conditionalFormatting>
  <conditionalFormatting sqref="D1048574:D1048576">
    <cfRule type="duplicateValues" dxfId="17" priority="2"/>
  </conditionalFormatting>
  <conditionalFormatting sqref="D67:D68 D71:D76">
    <cfRule type="duplicateValues" dxfId="16" priority="49"/>
  </conditionalFormatting>
  <conditionalFormatting sqref="D67:D68 D71:D76">
    <cfRule type="duplicateValues" dxfId="15" priority="56"/>
  </conditionalFormatting>
  <pageMargins left="0.71" right="0.71" top="0.75000000000000011" bottom="0.75000000000000011" header="0.31" footer="0.31"/>
  <pageSetup paperSize="9" scale="10" orientation="portrait" r:id="rId1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5"/>
  <sheetViews>
    <sheetView topLeftCell="A13" workbookViewId="0">
      <selection activeCell="D48" sqref="D48"/>
    </sheetView>
  </sheetViews>
  <sheetFormatPr defaultColWidth="8.85546875" defaultRowHeight="12.75" x14ac:dyDescent="0.2"/>
  <cols>
    <col min="1" max="1" width="25.42578125" customWidth="1"/>
    <col min="2" max="2" width="14" customWidth="1"/>
    <col min="3" max="3" width="78.140625" customWidth="1"/>
  </cols>
  <sheetData>
    <row r="1" spans="1:5" x14ac:dyDescent="0.2">
      <c r="A1" s="8" t="s">
        <v>7</v>
      </c>
      <c r="B1" s="7" t="s">
        <v>2</v>
      </c>
      <c r="C1" s="7" t="s">
        <v>6</v>
      </c>
      <c r="D1" s="8" t="s">
        <v>0</v>
      </c>
      <c r="E1" s="22" t="s">
        <v>1</v>
      </c>
    </row>
    <row r="2" spans="1:5" x14ac:dyDescent="0.2">
      <c r="A2" s="29" t="s">
        <v>11</v>
      </c>
      <c r="B2" s="31" t="s">
        <v>22</v>
      </c>
      <c r="C2" s="31" t="s">
        <v>23</v>
      </c>
      <c r="D2" s="29" t="s">
        <v>4</v>
      </c>
      <c r="E2" s="29" t="s">
        <v>8</v>
      </c>
    </row>
    <row r="3" spans="1:5" x14ac:dyDescent="0.2">
      <c r="A3" s="29" t="s">
        <v>11</v>
      </c>
      <c r="B3" s="31" t="s">
        <v>24</v>
      </c>
      <c r="C3" s="31" t="s">
        <v>25</v>
      </c>
      <c r="D3" s="29" t="s">
        <v>4</v>
      </c>
      <c r="E3" s="34" t="s">
        <v>8</v>
      </c>
    </row>
    <row r="4" spans="1:5" x14ac:dyDescent="0.2">
      <c r="A4" s="29" t="s">
        <v>11</v>
      </c>
      <c r="B4" s="31" t="s">
        <v>26</v>
      </c>
      <c r="C4" s="31" t="s">
        <v>27</v>
      </c>
      <c r="D4" s="29" t="s">
        <v>4</v>
      </c>
      <c r="E4" s="29" t="s">
        <v>8</v>
      </c>
    </row>
    <row r="5" spans="1:5" x14ac:dyDescent="0.2">
      <c r="A5" s="29" t="s">
        <v>21</v>
      </c>
      <c r="B5" s="31" t="s">
        <v>28</v>
      </c>
      <c r="C5" s="31" t="s">
        <v>29</v>
      </c>
      <c r="D5" s="29" t="s">
        <v>9</v>
      </c>
      <c r="E5" s="29" t="s">
        <v>8</v>
      </c>
    </row>
    <row r="6" spans="1:5" x14ac:dyDescent="0.2">
      <c r="A6" s="29" t="s">
        <v>30</v>
      </c>
      <c r="B6" s="29" t="s">
        <v>11</v>
      </c>
      <c r="C6" s="31" t="s">
        <v>31</v>
      </c>
      <c r="D6" s="29" t="s">
        <v>10</v>
      </c>
      <c r="E6" s="31"/>
    </row>
    <row r="7" spans="1:5" x14ac:dyDescent="0.2">
      <c r="A7" s="29" t="s">
        <v>11</v>
      </c>
      <c r="B7" s="31" t="s">
        <v>32</v>
      </c>
      <c r="C7" s="31" t="s">
        <v>33</v>
      </c>
      <c r="D7" s="29" t="s">
        <v>4</v>
      </c>
      <c r="E7" s="29" t="s">
        <v>8</v>
      </c>
    </row>
    <row r="8" spans="1:5" x14ac:dyDescent="0.2">
      <c r="A8" s="29" t="s">
        <v>11</v>
      </c>
      <c r="B8" s="29" t="s">
        <v>11</v>
      </c>
      <c r="C8" s="31" t="s">
        <v>34</v>
      </c>
      <c r="D8" s="29" t="s">
        <v>4</v>
      </c>
      <c r="E8" s="30"/>
    </row>
    <row r="9" spans="1:5" x14ac:dyDescent="0.2">
      <c r="A9" s="29"/>
      <c r="B9" s="29"/>
      <c r="C9" s="31" t="s">
        <v>34</v>
      </c>
      <c r="D9" s="29" t="s">
        <v>4</v>
      </c>
      <c r="E9" s="31"/>
    </row>
    <row r="10" spans="1:5" x14ac:dyDescent="0.2">
      <c r="A10" s="34" t="s">
        <v>11</v>
      </c>
      <c r="B10" s="29" t="s">
        <v>35</v>
      </c>
      <c r="C10" s="31" t="s">
        <v>36</v>
      </c>
      <c r="D10" s="29" t="s">
        <v>4</v>
      </c>
      <c r="E10" s="31" t="s">
        <v>8</v>
      </c>
    </row>
    <row r="11" spans="1:5" x14ac:dyDescent="0.2">
      <c r="A11" s="29" t="s">
        <v>11</v>
      </c>
      <c r="B11" s="29" t="s">
        <v>11</v>
      </c>
      <c r="C11" s="31" t="s">
        <v>37</v>
      </c>
      <c r="D11" s="29" t="s">
        <v>4</v>
      </c>
      <c r="E11" s="29"/>
    </row>
    <row r="12" spans="1:5" x14ac:dyDescent="0.2">
      <c r="A12" s="29" t="s">
        <v>11</v>
      </c>
      <c r="B12" s="29" t="s">
        <v>38</v>
      </c>
      <c r="C12" s="31" t="s">
        <v>39</v>
      </c>
      <c r="D12" s="28" t="s">
        <v>4</v>
      </c>
      <c r="E12" s="28" t="s">
        <v>8</v>
      </c>
    </row>
    <row r="13" spans="1:5" x14ac:dyDescent="0.2">
      <c r="A13" s="29" t="s">
        <v>11</v>
      </c>
      <c r="B13" s="29" t="s">
        <v>40</v>
      </c>
      <c r="C13" s="31" t="s">
        <v>41</v>
      </c>
      <c r="D13" s="29" t="s">
        <v>4</v>
      </c>
      <c r="E13" s="29" t="s">
        <v>8</v>
      </c>
    </row>
    <row r="14" spans="1:5" x14ac:dyDescent="0.2">
      <c r="A14" s="29" t="s">
        <v>11</v>
      </c>
      <c r="B14" s="29" t="s">
        <v>42</v>
      </c>
      <c r="C14" s="31" t="s">
        <v>43</v>
      </c>
      <c r="D14" s="29" t="s">
        <v>4</v>
      </c>
      <c r="E14" s="29" t="s">
        <v>8</v>
      </c>
    </row>
    <row r="15" spans="1:5" x14ac:dyDescent="0.2">
      <c r="A15" s="29" t="s">
        <v>11</v>
      </c>
      <c r="B15" s="34" t="s">
        <v>44</v>
      </c>
      <c r="C15" s="31" t="s">
        <v>45</v>
      </c>
      <c r="D15" s="29" t="s">
        <v>4</v>
      </c>
      <c r="E15" s="29" t="s">
        <v>8</v>
      </c>
    </row>
    <row r="16" spans="1:5" x14ac:dyDescent="0.2">
      <c r="A16" s="29" t="s">
        <v>12</v>
      </c>
      <c r="B16" s="34" t="s">
        <v>46</v>
      </c>
      <c r="C16" s="31" t="s">
        <v>47</v>
      </c>
      <c r="D16" s="29" t="s">
        <v>9</v>
      </c>
      <c r="E16" s="29" t="s">
        <v>8</v>
      </c>
    </row>
    <row r="17" spans="1:5" x14ac:dyDescent="0.2">
      <c r="A17" s="29" t="s">
        <v>13</v>
      </c>
      <c r="B17" s="34" t="s">
        <v>48</v>
      </c>
      <c r="C17" s="31" t="s">
        <v>49</v>
      </c>
      <c r="D17" s="29" t="s">
        <v>10</v>
      </c>
      <c r="E17" s="28" t="s">
        <v>8</v>
      </c>
    </row>
    <row r="18" spans="1:5" x14ac:dyDescent="0.2">
      <c r="A18" s="29" t="s">
        <v>50</v>
      </c>
      <c r="B18" s="34" t="s">
        <v>51</v>
      </c>
      <c r="C18" s="31" t="s">
        <v>52</v>
      </c>
      <c r="D18" s="34" t="s">
        <v>15</v>
      </c>
      <c r="E18" s="28" t="s">
        <v>8</v>
      </c>
    </row>
    <row r="19" spans="1:5" x14ac:dyDescent="0.2">
      <c r="A19" s="29" t="s">
        <v>14</v>
      </c>
      <c r="B19" s="34" t="s">
        <v>53</v>
      </c>
      <c r="C19" s="33" t="s">
        <v>54</v>
      </c>
      <c r="D19" s="29" t="s">
        <v>10</v>
      </c>
      <c r="E19" s="28" t="s">
        <v>8</v>
      </c>
    </row>
    <row r="20" spans="1:5" x14ac:dyDescent="0.2">
      <c r="A20" s="29" t="s">
        <v>11</v>
      </c>
      <c r="B20" s="34" t="s">
        <v>55</v>
      </c>
      <c r="C20" s="33" t="s">
        <v>56</v>
      </c>
      <c r="D20" s="29" t="s">
        <v>4</v>
      </c>
      <c r="E20" s="28" t="s">
        <v>8</v>
      </c>
    </row>
    <row r="21" spans="1:5" x14ac:dyDescent="0.2">
      <c r="A21" s="34" t="s">
        <v>11</v>
      </c>
      <c r="B21" s="34" t="s">
        <v>11</v>
      </c>
      <c r="C21" s="33" t="s">
        <v>57</v>
      </c>
      <c r="D21" s="34" t="s">
        <v>4</v>
      </c>
      <c r="E21" s="28"/>
    </row>
    <row r="22" spans="1:5" x14ac:dyDescent="0.2">
      <c r="A22" s="34" t="s">
        <v>11</v>
      </c>
      <c r="B22" s="34" t="s">
        <v>58</v>
      </c>
      <c r="C22" s="33" t="s">
        <v>59</v>
      </c>
      <c r="D22" s="28" t="s">
        <v>4</v>
      </c>
      <c r="E22" s="34" t="s">
        <v>8</v>
      </c>
    </row>
    <row r="23" spans="1:5" x14ac:dyDescent="0.2">
      <c r="A23" s="34" t="s">
        <v>11</v>
      </c>
      <c r="B23" s="28" t="s">
        <v>60</v>
      </c>
      <c r="C23" s="33" t="s">
        <v>61</v>
      </c>
      <c r="D23" s="28" t="s">
        <v>4</v>
      </c>
      <c r="E23" s="29" t="s">
        <v>8</v>
      </c>
    </row>
    <row r="24" spans="1:5" x14ac:dyDescent="0.2">
      <c r="A24" s="34" t="s">
        <v>11</v>
      </c>
      <c r="B24" s="34" t="s">
        <v>62</v>
      </c>
      <c r="C24" s="33" t="s">
        <v>63</v>
      </c>
      <c r="D24" s="34" t="s">
        <v>4</v>
      </c>
      <c r="E24" s="34" t="s">
        <v>8</v>
      </c>
    </row>
    <row r="25" spans="1:5" x14ac:dyDescent="0.2">
      <c r="A25" s="34" t="s">
        <v>11</v>
      </c>
      <c r="B25" s="28" t="s">
        <v>64</v>
      </c>
      <c r="C25" s="30" t="s">
        <v>65</v>
      </c>
      <c r="D25" s="28" t="s">
        <v>4</v>
      </c>
      <c r="E25" s="34" t="s">
        <v>8</v>
      </c>
    </row>
    <row r="26" spans="1:5" x14ac:dyDescent="0.2">
      <c r="A26" s="34" t="s">
        <v>11</v>
      </c>
      <c r="B26" s="34" t="s">
        <v>66</v>
      </c>
      <c r="C26" s="33" t="s">
        <v>67</v>
      </c>
      <c r="D26" s="34" t="s">
        <v>4</v>
      </c>
      <c r="E26" s="34" t="s">
        <v>8</v>
      </c>
    </row>
    <row r="27" spans="1:5" x14ac:dyDescent="0.2">
      <c r="A27" s="29" t="s">
        <v>11</v>
      </c>
      <c r="B27" s="34" t="s">
        <v>68</v>
      </c>
      <c r="C27" s="33" t="s">
        <v>69</v>
      </c>
      <c r="D27" s="29" t="s">
        <v>4</v>
      </c>
      <c r="E27" s="29" t="s">
        <v>8</v>
      </c>
    </row>
    <row r="28" spans="1:5" x14ac:dyDescent="0.2">
      <c r="A28" s="28" t="s">
        <v>11</v>
      </c>
      <c r="B28" s="34" t="s">
        <v>70</v>
      </c>
      <c r="C28" s="33" t="s">
        <v>71</v>
      </c>
      <c r="D28" s="29" t="s">
        <v>4</v>
      </c>
      <c r="E28" s="29" t="s">
        <v>8</v>
      </c>
    </row>
    <row r="29" spans="1:5" x14ac:dyDescent="0.2">
      <c r="A29" s="29" t="s">
        <v>16</v>
      </c>
      <c r="B29" s="34" t="s">
        <v>72</v>
      </c>
      <c r="C29" s="33" t="s">
        <v>73</v>
      </c>
      <c r="D29" s="29" t="s">
        <v>15</v>
      </c>
      <c r="E29" s="29" t="s">
        <v>8</v>
      </c>
    </row>
    <row r="30" spans="1:5" x14ac:dyDescent="0.2">
      <c r="A30" s="34" t="s">
        <v>11</v>
      </c>
      <c r="B30" s="34" t="s">
        <v>74</v>
      </c>
      <c r="C30" s="33" t="s">
        <v>75</v>
      </c>
      <c r="D30" s="29" t="s">
        <v>15</v>
      </c>
      <c r="E30" s="29" t="s">
        <v>8</v>
      </c>
    </row>
    <row r="31" spans="1:5" x14ac:dyDescent="0.2">
      <c r="A31" s="36" t="s">
        <v>76</v>
      </c>
      <c r="B31" s="34" t="s">
        <v>77</v>
      </c>
      <c r="C31" s="33" t="s">
        <v>78</v>
      </c>
      <c r="D31" s="29" t="s">
        <v>79</v>
      </c>
      <c r="E31" s="28" t="s">
        <v>8</v>
      </c>
    </row>
    <row r="32" spans="1:5" x14ac:dyDescent="0.2">
      <c r="A32" s="29" t="s">
        <v>17</v>
      </c>
      <c r="B32" s="34" t="s">
        <v>80</v>
      </c>
      <c r="C32" s="33" t="s">
        <v>81</v>
      </c>
      <c r="D32" s="29" t="s">
        <v>15</v>
      </c>
      <c r="E32" s="28" t="s">
        <v>8</v>
      </c>
    </row>
    <row r="33" spans="1:5" x14ac:dyDescent="0.2">
      <c r="A33" s="28" t="s">
        <v>11</v>
      </c>
      <c r="B33" s="34" t="s">
        <v>82</v>
      </c>
      <c r="C33" s="33" t="s">
        <v>83</v>
      </c>
      <c r="D33" s="29" t="s">
        <v>4</v>
      </c>
      <c r="E33" s="34" t="s">
        <v>8</v>
      </c>
    </row>
    <row r="34" spans="1:5" x14ac:dyDescent="0.2">
      <c r="A34" s="28" t="s">
        <v>11</v>
      </c>
      <c r="B34" s="34" t="s">
        <v>84</v>
      </c>
      <c r="C34" s="30" t="s">
        <v>85</v>
      </c>
      <c r="D34" s="28" t="s">
        <v>4</v>
      </c>
      <c r="E34" s="28" t="s">
        <v>8</v>
      </c>
    </row>
    <row r="35" spans="1:5" x14ac:dyDescent="0.2">
      <c r="A35" s="28" t="s">
        <v>11</v>
      </c>
      <c r="B35" s="34" t="s">
        <v>86</v>
      </c>
      <c r="C35" s="30" t="s">
        <v>87</v>
      </c>
      <c r="D35" s="28" t="s">
        <v>4</v>
      </c>
      <c r="E35" s="28" t="s">
        <v>8</v>
      </c>
    </row>
    <row r="36" spans="1:5" x14ac:dyDescent="0.2">
      <c r="A36" s="28" t="s">
        <v>11</v>
      </c>
      <c r="B36" s="34" t="s">
        <v>88</v>
      </c>
      <c r="C36" s="30" t="s">
        <v>89</v>
      </c>
      <c r="D36" s="29" t="s">
        <v>4</v>
      </c>
      <c r="E36" s="28" t="s">
        <v>8</v>
      </c>
    </row>
    <row r="37" spans="1:5" x14ac:dyDescent="0.2">
      <c r="A37" s="28" t="s">
        <v>11</v>
      </c>
      <c r="B37" s="28" t="s">
        <v>90</v>
      </c>
      <c r="C37" s="30" t="s">
        <v>91</v>
      </c>
      <c r="D37" s="29" t="s">
        <v>4</v>
      </c>
      <c r="E37" s="28" t="s">
        <v>8</v>
      </c>
    </row>
    <row r="38" spans="1:5" x14ac:dyDescent="0.2">
      <c r="A38" s="29"/>
      <c r="B38" s="28" t="s">
        <v>92</v>
      </c>
      <c r="C38" s="30" t="s">
        <v>93</v>
      </c>
      <c r="D38" s="29" t="s">
        <v>4</v>
      </c>
      <c r="E38" s="28" t="s">
        <v>8</v>
      </c>
    </row>
    <row r="39" spans="1:5" x14ac:dyDescent="0.2">
      <c r="A39" s="34"/>
      <c r="B39" s="28" t="s">
        <v>94</v>
      </c>
      <c r="C39" s="30" t="s">
        <v>95</v>
      </c>
      <c r="D39" s="29" t="s">
        <v>4</v>
      </c>
      <c r="E39" s="28" t="s">
        <v>8</v>
      </c>
    </row>
    <row r="40" spans="1:5" x14ac:dyDescent="0.2">
      <c r="A40" s="35"/>
      <c r="B40" s="28" t="s">
        <v>96</v>
      </c>
      <c r="C40" s="30" t="s">
        <v>97</v>
      </c>
      <c r="D40" s="29" t="s">
        <v>4</v>
      </c>
      <c r="E40" s="28" t="s">
        <v>8</v>
      </c>
    </row>
    <row r="41" spans="1:5" x14ac:dyDescent="0.2">
      <c r="A41" s="28"/>
      <c r="B41" s="34" t="s">
        <v>98</v>
      </c>
      <c r="C41" s="33" t="s">
        <v>99</v>
      </c>
      <c r="D41" s="29" t="s">
        <v>4</v>
      </c>
      <c r="E41" s="28" t="s">
        <v>8</v>
      </c>
    </row>
    <row r="42" spans="1:5" x14ac:dyDescent="0.2">
      <c r="A42" s="28"/>
      <c r="B42" s="28" t="s">
        <v>100</v>
      </c>
      <c r="C42" s="30" t="s">
        <v>101</v>
      </c>
      <c r="D42" s="29" t="s">
        <v>4</v>
      </c>
      <c r="E42" s="28" t="s">
        <v>8</v>
      </c>
    </row>
    <row r="43" spans="1:5" x14ac:dyDescent="0.2">
      <c r="A43" s="28" t="s">
        <v>102</v>
      </c>
      <c r="B43" s="34" t="s">
        <v>103</v>
      </c>
      <c r="C43" s="30" t="s">
        <v>104</v>
      </c>
      <c r="D43" s="28" t="s">
        <v>10</v>
      </c>
      <c r="E43" s="28" t="s">
        <v>8</v>
      </c>
    </row>
    <row r="44" spans="1:5" x14ac:dyDescent="0.2">
      <c r="A44" s="34"/>
      <c r="B44" s="28" t="s">
        <v>105</v>
      </c>
      <c r="C44" s="30" t="s">
        <v>106</v>
      </c>
      <c r="D44" s="28" t="s">
        <v>4</v>
      </c>
      <c r="E44" s="28" t="s">
        <v>8</v>
      </c>
    </row>
    <row r="45" spans="1:5" x14ac:dyDescent="0.2">
      <c r="A45" s="34"/>
      <c r="B45" s="34" t="s">
        <v>107</v>
      </c>
      <c r="C45" s="30" t="s">
        <v>108</v>
      </c>
      <c r="D45" s="28" t="s">
        <v>4</v>
      </c>
      <c r="E45" s="28" t="s">
        <v>8</v>
      </c>
    </row>
    <row r="46" spans="1:5" x14ac:dyDescent="0.2">
      <c r="A46" s="34"/>
      <c r="B46" s="28" t="s">
        <v>109</v>
      </c>
      <c r="C46" s="31" t="s">
        <v>110</v>
      </c>
      <c r="D46" s="29" t="s">
        <v>10</v>
      </c>
      <c r="E46" s="28" t="s">
        <v>8</v>
      </c>
    </row>
    <row r="47" spans="1:5" x14ac:dyDescent="0.2">
      <c r="A47" s="34"/>
      <c r="B47" s="34" t="s">
        <v>111</v>
      </c>
      <c r="C47" s="31" t="s">
        <v>112</v>
      </c>
      <c r="D47" s="28" t="s">
        <v>4</v>
      </c>
      <c r="E47" s="28" t="s">
        <v>8</v>
      </c>
    </row>
    <row r="48" spans="1:5" x14ac:dyDescent="0.2">
      <c r="A48" s="28" t="s">
        <v>113</v>
      </c>
      <c r="B48" s="37" t="s">
        <v>114</v>
      </c>
      <c r="C48" s="31" t="s">
        <v>115</v>
      </c>
      <c r="D48" s="28" t="s">
        <v>116</v>
      </c>
      <c r="E48" s="28" t="s">
        <v>8</v>
      </c>
    </row>
    <row r="49" spans="1:5" x14ac:dyDescent="0.2">
      <c r="A49" s="28" t="s">
        <v>20</v>
      </c>
      <c r="B49" s="34" t="s">
        <v>117</v>
      </c>
      <c r="C49" s="31" t="s">
        <v>118</v>
      </c>
      <c r="D49" s="29" t="s">
        <v>119</v>
      </c>
      <c r="E49" s="29" t="s">
        <v>8</v>
      </c>
    </row>
    <row r="50" spans="1:5" x14ac:dyDescent="0.2">
      <c r="A50" s="34"/>
      <c r="B50" s="28" t="s">
        <v>120</v>
      </c>
      <c r="C50" s="31" t="s">
        <v>121</v>
      </c>
      <c r="D50" s="29" t="s">
        <v>4</v>
      </c>
      <c r="E50" s="29" t="s">
        <v>8</v>
      </c>
    </row>
    <row r="51" spans="1:5" x14ac:dyDescent="0.2">
      <c r="A51" s="34"/>
      <c r="B51" s="34" t="s">
        <v>122</v>
      </c>
      <c r="C51" s="31" t="s">
        <v>123</v>
      </c>
      <c r="D51" s="28" t="s">
        <v>4</v>
      </c>
      <c r="E51" s="29" t="s">
        <v>8</v>
      </c>
    </row>
    <row r="52" spans="1:5" x14ac:dyDescent="0.2">
      <c r="A52" s="28" t="s">
        <v>19</v>
      </c>
      <c r="B52" s="37" t="s">
        <v>124</v>
      </c>
      <c r="C52" s="31" t="s">
        <v>125</v>
      </c>
      <c r="D52" s="32" t="s">
        <v>126</v>
      </c>
      <c r="E52" s="29" t="s">
        <v>8</v>
      </c>
    </row>
    <row r="53" spans="1:5" x14ac:dyDescent="0.2">
      <c r="A53" s="34"/>
      <c r="B53" s="34" t="s">
        <v>127</v>
      </c>
      <c r="C53" s="31" t="s">
        <v>128</v>
      </c>
      <c r="D53" s="32" t="s">
        <v>4</v>
      </c>
      <c r="E53" s="29" t="s">
        <v>8</v>
      </c>
    </row>
    <row r="54" spans="1:5" x14ac:dyDescent="0.2">
      <c r="A54" s="34"/>
      <c r="B54" s="28" t="s">
        <v>129</v>
      </c>
      <c r="C54" s="31" t="s">
        <v>130</v>
      </c>
      <c r="D54" s="32" t="s">
        <v>4</v>
      </c>
      <c r="E54" s="29" t="s">
        <v>8</v>
      </c>
    </row>
    <row r="55" spans="1:5" x14ac:dyDescent="0.2">
      <c r="A55" s="34"/>
      <c r="B55" s="34" t="s">
        <v>131</v>
      </c>
      <c r="C55" s="31" t="s">
        <v>132</v>
      </c>
      <c r="D55" s="29" t="s">
        <v>4</v>
      </c>
      <c r="E55" s="29" t="s">
        <v>8</v>
      </c>
    </row>
    <row r="56" spans="1:5" x14ac:dyDescent="0.2">
      <c r="A56" s="34"/>
      <c r="B56" s="28" t="s">
        <v>133</v>
      </c>
      <c r="C56" s="31" t="s">
        <v>134</v>
      </c>
      <c r="D56" s="32" t="s">
        <v>4</v>
      </c>
      <c r="E56" s="29" t="s">
        <v>8</v>
      </c>
    </row>
    <row r="57" spans="1:5" x14ac:dyDescent="0.2">
      <c r="A57" s="34"/>
      <c r="B57" s="28" t="s">
        <v>135</v>
      </c>
      <c r="C57" s="31" t="s">
        <v>136</v>
      </c>
      <c r="D57" s="32" t="s">
        <v>4</v>
      </c>
      <c r="E57" s="29" t="s">
        <v>8</v>
      </c>
    </row>
    <row r="58" spans="1:5" x14ac:dyDescent="0.2">
      <c r="A58" s="34"/>
      <c r="B58" s="28" t="s">
        <v>137</v>
      </c>
      <c r="C58" s="31" t="s">
        <v>138</v>
      </c>
      <c r="D58" s="32" t="s">
        <v>4</v>
      </c>
      <c r="E58" s="29" t="s">
        <v>8</v>
      </c>
    </row>
    <row r="59" spans="1:5" x14ac:dyDescent="0.2">
      <c r="A59" s="30"/>
      <c r="B59" s="28" t="s">
        <v>139</v>
      </c>
      <c r="C59" s="31" t="s">
        <v>140</v>
      </c>
      <c r="D59" s="32" t="s">
        <v>4</v>
      </c>
      <c r="E59" s="29" t="s">
        <v>8</v>
      </c>
    </row>
    <row r="60" spans="1:5" x14ac:dyDescent="0.2">
      <c r="A60" s="28"/>
      <c r="B60" s="28" t="s">
        <v>141</v>
      </c>
      <c r="C60" s="31" t="s">
        <v>142</v>
      </c>
      <c r="D60" s="32" t="s">
        <v>4</v>
      </c>
      <c r="E60" s="29" t="s">
        <v>8</v>
      </c>
    </row>
    <row r="61" spans="1:5" x14ac:dyDescent="0.2">
      <c r="A61" s="29"/>
      <c r="B61" s="28" t="s">
        <v>143</v>
      </c>
      <c r="C61" s="31" t="s">
        <v>144</v>
      </c>
      <c r="D61" s="29" t="s">
        <v>4</v>
      </c>
      <c r="E61" s="29" t="s">
        <v>8</v>
      </c>
    </row>
    <row r="62" spans="1:5" x14ac:dyDescent="0.2">
      <c r="A62" s="34"/>
      <c r="B62" s="28" t="s">
        <v>145</v>
      </c>
      <c r="C62" s="31" t="s">
        <v>146</v>
      </c>
      <c r="D62" s="28" t="s">
        <v>4</v>
      </c>
      <c r="E62" s="28" t="s">
        <v>8</v>
      </c>
    </row>
    <row r="63" spans="1:5" x14ac:dyDescent="0.2">
      <c r="A63" s="28" t="s">
        <v>18</v>
      </c>
      <c r="B63" s="28" t="s">
        <v>147</v>
      </c>
      <c r="C63" s="31" t="s">
        <v>148</v>
      </c>
      <c r="D63" s="28" t="s">
        <v>10</v>
      </c>
      <c r="E63" s="28" t="s">
        <v>149</v>
      </c>
    </row>
    <row r="64" spans="1:5" x14ac:dyDescent="0.2">
      <c r="A64" s="28" t="s">
        <v>150</v>
      </c>
      <c r="B64" s="28" t="s">
        <v>151</v>
      </c>
      <c r="C64" s="31" t="s">
        <v>152</v>
      </c>
      <c r="D64" s="29"/>
      <c r="E64" s="29"/>
    </row>
    <row r="65" spans="1:6" x14ac:dyDescent="0.2">
      <c r="A65" s="28" t="s">
        <v>153</v>
      </c>
      <c r="B65" s="28" t="s">
        <v>154</v>
      </c>
      <c r="C65" s="31" t="s">
        <v>155</v>
      </c>
      <c r="D65" s="29"/>
      <c r="E65" s="29"/>
    </row>
    <row r="66" spans="1:6" x14ac:dyDescent="0.2">
      <c r="A66" s="34"/>
      <c r="B66" s="28" t="s">
        <v>156</v>
      </c>
      <c r="C66" s="33" t="s">
        <v>157</v>
      </c>
      <c r="D66" s="29"/>
      <c r="E66" s="29"/>
    </row>
    <row r="67" spans="1:6" x14ac:dyDescent="0.2">
      <c r="A67" s="34"/>
      <c r="B67" s="28" t="s">
        <v>158</v>
      </c>
      <c r="C67" s="33" t="s">
        <v>159</v>
      </c>
      <c r="D67" s="29"/>
      <c r="E67" s="29"/>
    </row>
    <row r="68" spans="1:6" x14ac:dyDescent="0.2">
      <c r="A68" s="27"/>
      <c r="B68" s="23"/>
      <c r="C68" s="19"/>
      <c r="D68" s="18"/>
      <c r="E68" s="18"/>
      <c r="F68" s="4"/>
    </row>
    <row r="69" spans="1:6" x14ac:dyDescent="0.2">
      <c r="A69" s="26"/>
      <c r="B69" s="17"/>
      <c r="C69" s="19"/>
      <c r="D69" s="18"/>
      <c r="E69" s="18"/>
      <c r="F69" s="4"/>
    </row>
    <row r="70" spans="1:6" x14ac:dyDescent="0.2">
      <c r="A70" s="26"/>
      <c r="B70" s="23"/>
      <c r="C70" s="20"/>
      <c r="D70" s="18"/>
      <c r="E70" s="18"/>
      <c r="F70" s="4"/>
    </row>
    <row r="71" spans="1:6" x14ac:dyDescent="0.2">
      <c r="A71" s="26"/>
      <c r="B71" s="23"/>
      <c r="C71" s="20"/>
      <c r="D71" s="18"/>
      <c r="E71" s="18"/>
      <c r="F71" s="4"/>
    </row>
    <row r="72" spans="1:6" x14ac:dyDescent="0.2">
      <c r="A72" s="26"/>
      <c r="B72" s="23"/>
      <c r="C72" s="21"/>
      <c r="D72" s="17"/>
      <c r="E72" s="18"/>
      <c r="F72" s="4"/>
    </row>
    <row r="73" spans="1:6" x14ac:dyDescent="0.2">
      <c r="A73" s="26"/>
      <c r="B73" s="23"/>
      <c r="C73" s="21"/>
      <c r="D73" s="23"/>
      <c r="E73" s="23"/>
      <c r="F73" s="4"/>
    </row>
    <row r="74" spans="1:6" x14ac:dyDescent="0.2">
      <c r="A74" s="20"/>
      <c r="B74" s="5"/>
      <c r="C74" s="20"/>
      <c r="D74" s="3"/>
      <c r="E74" s="4"/>
      <c r="F74" s="4"/>
    </row>
    <row r="75" spans="1:6" x14ac:dyDescent="0.2">
      <c r="A75" s="5"/>
      <c r="B75" s="5"/>
      <c r="C75" s="20"/>
      <c r="D75" s="3"/>
      <c r="E75" s="4"/>
      <c r="F75" s="4"/>
    </row>
    <row r="76" spans="1:6" x14ac:dyDescent="0.2">
      <c r="A76" s="5"/>
      <c r="B76" s="5"/>
      <c r="C76" s="18"/>
      <c r="D76" s="3"/>
      <c r="E76" s="4"/>
      <c r="F76" s="4"/>
    </row>
    <row r="77" spans="1:6" x14ac:dyDescent="0.2">
      <c r="A77" s="5"/>
      <c r="B77" s="5"/>
      <c r="C77" s="20"/>
      <c r="D77" s="3"/>
      <c r="E77" s="4"/>
      <c r="F77" s="4"/>
    </row>
    <row r="78" spans="1:6" x14ac:dyDescent="0.2">
      <c r="A78" s="5"/>
      <c r="B78" s="5"/>
      <c r="C78" s="20"/>
      <c r="D78" s="3"/>
      <c r="E78" s="4"/>
      <c r="F78" s="4"/>
    </row>
    <row r="79" spans="1:6" x14ac:dyDescent="0.2">
      <c r="A79" s="5"/>
      <c r="B79" s="5"/>
      <c r="C79" s="5"/>
      <c r="D79" s="3"/>
      <c r="E79" s="4"/>
      <c r="F79" s="4"/>
    </row>
    <row r="80" spans="1:6" x14ac:dyDescent="0.2">
      <c r="A80" s="4"/>
      <c r="B80" s="5"/>
      <c r="C80" s="5"/>
      <c r="D80" s="3"/>
      <c r="E80" s="4"/>
      <c r="F80" s="4"/>
    </row>
    <row r="81" spans="1:6" x14ac:dyDescent="0.2">
      <c r="A81" s="4"/>
      <c r="B81" s="5"/>
      <c r="C81" s="5"/>
      <c r="D81" s="3"/>
      <c r="E81" s="4"/>
      <c r="F81" s="4"/>
    </row>
    <row r="82" spans="1:6" x14ac:dyDescent="0.2">
      <c r="A82" s="5"/>
      <c r="B82" s="5"/>
      <c r="C82" s="5"/>
      <c r="D82" s="3"/>
      <c r="E82" s="4"/>
      <c r="F82" s="4"/>
    </row>
    <row r="83" spans="1:6" x14ac:dyDescent="0.2">
      <c r="A83" s="5"/>
      <c r="B83" s="5"/>
      <c r="C83" s="5"/>
      <c r="D83" s="3"/>
      <c r="E83" s="4"/>
      <c r="F83" s="4"/>
    </row>
    <row r="84" spans="1:6" x14ac:dyDescent="0.2">
      <c r="A84" s="4"/>
      <c r="B84" s="5"/>
      <c r="C84" s="5"/>
      <c r="D84" s="3"/>
      <c r="E84" s="4"/>
      <c r="F84" s="4"/>
    </row>
    <row r="85" spans="1:6" x14ac:dyDescent="0.2">
      <c r="A85" s="4"/>
      <c r="B85" s="5"/>
      <c r="C85" s="5"/>
      <c r="D85" s="3"/>
      <c r="E85" s="4"/>
      <c r="F85" s="4"/>
    </row>
    <row r="86" spans="1:6" x14ac:dyDescent="0.2">
      <c r="A86" s="5"/>
      <c r="B86" s="5"/>
      <c r="C86" s="5"/>
      <c r="D86" s="3"/>
      <c r="E86" s="4"/>
      <c r="F86" s="4"/>
    </row>
    <row r="87" spans="1:6" x14ac:dyDescent="0.2">
      <c r="A87" s="4"/>
      <c r="B87" s="5"/>
      <c r="C87" s="5"/>
      <c r="D87" s="3"/>
      <c r="E87" s="4"/>
      <c r="F87" s="4"/>
    </row>
    <row r="88" spans="1:6" x14ac:dyDescent="0.2">
      <c r="A88" s="4"/>
      <c r="B88" s="5"/>
      <c r="C88" s="5"/>
      <c r="D88" s="3"/>
      <c r="E88" s="4"/>
      <c r="F88" s="4"/>
    </row>
    <row r="89" spans="1:6" x14ac:dyDescent="0.2">
      <c r="A89" s="5"/>
      <c r="B89" s="5"/>
      <c r="C89" s="5"/>
      <c r="D89" s="3"/>
      <c r="E89" s="4"/>
      <c r="F89" s="4"/>
    </row>
    <row r="90" spans="1:6" x14ac:dyDescent="0.2">
      <c r="A90" s="6"/>
      <c r="B90" s="5"/>
      <c r="C90" s="6"/>
      <c r="D90" s="2" t="s">
        <v>4</v>
      </c>
    </row>
    <row r="91" spans="1:6" x14ac:dyDescent="0.2">
      <c r="A91" s="4"/>
      <c r="C91" s="6"/>
      <c r="D91" s="1"/>
    </row>
    <row r="92" spans="1:6" x14ac:dyDescent="0.2">
      <c r="A92" s="4"/>
      <c r="B92" s="5"/>
      <c r="C92" s="6"/>
      <c r="D92" s="2"/>
    </row>
    <row r="93" spans="1:6" x14ac:dyDescent="0.2">
      <c r="A93" s="5"/>
      <c r="B93" s="5"/>
      <c r="C93" s="6"/>
      <c r="D93" s="2"/>
    </row>
    <row r="94" spans="1:6" x14ac:dyDescent="0.2">
      <c r="A94" s="5"/>
      <c r="B94" s="5"/>
      <c r="C94" s="6"/>
      <c r="D94" s="2"/>
    </row>
    <row r="95" spans="1:6" x14ac:dyDescent="0.2">
      <c r="A95" s="4"/>
      <c r="B95" s="5"/>
      <c r="C95" s="6"/>
      <c r="D95" s="2"/>
    </row>
    <row r="96" spans="1:6" x14ac:dyDescent="0.2">
      <c r="A96" s="4"/>
      <c r="B96" s="5"/>
      <c r="C96" s="6"/>
      <c r="D96" s="2"/>
    </row>
    <row r="97" spans="1:4" x14ac:dyDescent="0.2">
      <c r="A97" s="5"/>
      <c r="B97" s="5"/>
      <c r="C97" s="6"/>
      <c r="D97" s="2"/>
    </row>
    <row r="98" spans="1:4" x14ac:dyDescent="0.2">
      <c r="A98" s="6"/>
      <c r="B98" s="5"/>
      <c r="C98" s="6"/>
      <c r="D98" s="2"/>
    </row>
    <row r="99" spans="1:4" x14ac:dyDescent="0.2">
      <c r="A99" s="5"/>
      <c r="B99" s="5"/>
      <c r="C99" s="6"/>
      <c r="D99" s="2"/>
    </row>
    <row r="100" spans="1:4" x14ac:dyDescent="0.2">
      <c r="A100" s="5"/>
      <c r="B100" s="5"/>
      <c r="C100" s="6"/>
      <c r="D100" s="2"/>
    </row>
    <row r="101" spans="1:4" x14ac:dyDescent="0.2">
      <c r="A101" s="5"/>
      <c r="B101" s="13"/>
      <c r="C101" s="6"/>
      <c r="D101" s="2"/>
    </row>
    <row r="102" spans="1:4" x14ac:dyDescent="0.2">
      <c r="A102" s="12"/>
      <c r="B102" s="13"/>
      <c r="C102" s="14"/>
      <c r="D102" s="2"/>
    </row>
    <row r="103" spans="1:4" x14ac:dyDescent="0.2">
      <c r="A103" s="9"/>
      <c r="B103" s="10"/>
      <c r="C103" s="11"/>
      <c r="D103" s="2"/>
    </row>
    <row r="104" spans="1:4" x14ac:dyDescent="0.2">
      <c r="A104" s="9"/>
      <c r="B104" s="10"/>
      <c r="C104" s="11"/>
      <c r="D104" s="2"/>
    </row>
    <row r="105" spans="1:4" x14ac:dyDescent="0.2">
      <c r="A105" s="9"/>
      <c r="B105" s="10"/>
      <c r="C105" s="11"/>
      <c r="D105" s="2"/>
    </row>
    <row r="106" spans="1:4" x14ac:dyDescent="0.2">
      <c r="A106" s="4"/>
      <c r="B106" s="5"/>
      <c r="C106" s="6"/>
      <c r="D106" s="2"/>
    </row>
    <row r="107" spans="1:4" x14ac:dyDescent="0.2">
      <c r="A107" s="5"/>
      <c r="B107" s="5"/>
      <c r="C107" s="11"/>
      <c r="D107" s="2"/>
    </row>
    <row r="108" spans="1:4" x14ac:dyDescent="0.2">
      <c r="A108" s="4"/>
      <c r="B108" s="5"/>
      <c r="C108" s="11"/>
      <c r="D108" s="2"/>
    </row>
    <row r="109" spans="1:4" x14ac:dyDescent="0.2">
      <c r="A109" s="5"/>
      <c r="B109" s="5"/>
      <c r="C109" s="11"/>
      <c r="D109" s="1"/>
    </row>
    <row r="110" spans="1:4" x14ac:dyDescent="0.2">
      <c r="A110" s="4"/>
      <c r="B110" s="5"/>
      <c r="C110" s="11"/>
      <c r="D110" s="2"/>
    </row>
    <row r="111" spans="1:4" x14ac:dyDescent="0.2">
      <c r="A111" s="4"/>
      <c r="B111" s="5"/>
      <c r="C111" s="11"/>
      <c r="D111" s="2"/>
    </row>
    <row r="112" spans="1:4" x14ac:dyDescent="0.2">
      <c r="A112" s="4"/>
      <c r="B112" s="5"/>
      <c r="C112" s="11"/>
      <c r="D112" s="1"/>
    </row>
    <row r="113" spans="1:4" x14ac:dyDescent="0.2">
      <c r="A113" s="4"/>
      <c r="B113" s="5"/>
      <c r="C113" s="11"/>
      <c r="D113" s="1"/>
    </row>
    <row r="114" spans="1:4" x14ac:dyDescent="0.2">
      <c r="A114" s="5"/>
      <c r="B114" s="5"/>
      <c r="C114" s="6"/>
      <c r="D114" s="2"/>
    </row>
    <row r="115" spans="1:4" x14ac:dyDescent="0.2">
      <c r="A115" s="5"/>
      <c r="B115" s="5"/>
      <c r="C115" s="11"/>
      <c r="D115" s="2"/>
    </row>
  </sheetData>
  <conditionalFormatting sqref="B74:B108">
    <cfRule type="duplicateValues" dxfId="14" priority="17"/>
  </conditionalFormatting>
  <conditionalFormatting sqref="B92:B115 B74:B90">
    <cfRule type="duplicateValues" dxfId="13" priority="16"/>
  </conditionalFormatting>
  <conditionalFormatting sqref="B74:B115">
    <cfRule type="duplicateValues" dxfId="12" priority="15"/>
  </conditionalFormatting>
  <conditionalFormatting sqref="B74:B90">
    <cfRule type="duplicateValues" dxfId="11" priority="14"/>
  </conditionalFormatting>
  <conditionalFormatting sqref="B74:B90">
    <cfRule type="duplicateValues" dxfId="10" priority="13"/>
  </conditionalFormatting>
  <conditionalFormatting sqref="B2:B36 B38:B40 C68:C69 B42:B67 C72:C73">
    <cfRule type="duplicateValues" dxfId="9" priority="9"/>
  </conditionalFormatting>
  <conditionalFormatting sqref="B2:B36 B38:B40 C68:C69 B42:B67 C72:C73">
    <cfRule type="duplicateValues" dxfId="8" priority="10"/>
  </conditionalFormatting>
  <conditionalFormatting sqref="C70">
    <cfRule type="duplicateValues" dxfId="7" priority="8"/>
  </conditionalFormatting>
  <conditionalFormatting sqref="C70">
    <cfRule type="duplicateValues" dxfId="6" priority="7"/>
  </conditionalFormatting>
  <conditionalFormatting sqref="C71">
    <cfRule type="duplicateValues" dxfId="5" priority="6"/>
  </conditionalFormatting>
  <conditionalFormatting sqref="C71">
    <cfRule type="duplicateValues" dxfId="4" priority="5"/>
  </conditionalFormatting>
  <conditionalFormatting sqref="B37">
    <cfRule type="duplicateValues" dxfId="3" priority="3"/>
  </conditionalFormatting>
  <conditionalFormatting sqref="B37">
    <cfRule type="duplicateValues" dxfId="2" priority="4"/>
  </conditionalFormatting>
  <conditionalFormatting sqref="B41">
    <cfRule type="duplicateValues" dxfId="1" priority="1"/>
  </conditionalFormatting>
  <conditionalFormatting sqref="B4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2020-2021</vt:lpstr>
      <vt:lpstr>Last Years Boys</vt:lpstr>
      <vt:lpstr>Male Plot</vt:lpstr>
    </vt:vector>
  </TitlesOfParts>
  <Company>Natural Environment Research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Warren</dc:creator>
  <cp:lastModifiedBy>apaijmans</cp:lastModifiedBy>
  <cp:lastPrinted>2020-12-08T23:07:26Z</cp:lastPrinted>
  <dcterms:created xsi:type="dcterms:W3CDTF">2003-11-01T10:38:06Z</dcterms:created>
  <dcterms:modified xsi:type="dcterms:W3CDTF">2024-09-26T13:53:44Z</dcterms:modified>
</cp:coreProperties>
</file>