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5320" windowHeight="2100" tabRatio="601"/>
  </bookViews>
  <sheets>
    <sheet name="2014-2015" sheetId="5" r:id="rId1"/>
    <sheet name="Male Plot" sheetId="7" r:id="rId2"/>
    <sheet name="Last Years Boys" sheetId="6" r:id="rId3"/>
    <sheet name="Lost Boys" sheetId="4" r:id="rId4"/>
  </sheets>
  <definedNames>
    <definedName name="_xlnm._FilterDatabase" localSheetId="0" hidden="1">'2014-2015'!$B$1:$C$285</definedName>
  </definedNames>
  <calcPr calcId="125725"/>
</workbook>
</file>

<file path=xl/calcChain.xml><?xml version="1.0" encoding="utf-8"?>
<calcChain xmlns="http://schemas.openxmlformats.org/spreadsheetml/2006/main">
  <c r="B1" i="5"/>
  <c r="AL1" l="1"/>
  <c r="AK1"/>
  <c r="R1" l="1"/>
  <c r="Q1"/>
  <c r="P1"/>
  <c r="I1"/>
  <c r="J1"/>
  <c r="K1"/>
  <c r="L1"/>
  <c r="M1"/>
  <c r="N1"/>
  <c r="O1"/>
  <c r="S1"/>
  <c r="T1"/>
  <c r="U1"/>
  <c r="V1"/>
  <c r="W1"/>
  <c r="X1"/>
  <c r="Y1"/>
  <c r="Z1"/>
  <c r="AA1"/>
  <c r="AB1"/>
  <c r="AC1"/>
  <c r="AD1"/>
  <c r="AE1"/>
  <c r="AF1"/>
  <c r="AG1"/>
  <c r="AH1"/>
  <c r="AI1"/>
  <c r="AJ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H1"/>
  <c r="G1"/>
  <c r="CX285" l="1"/>
  <c r="CW285"/>
  <c r="CV285"/>
  <c r="CU285"/>
  <c r="CT285"/>
  <c r="CS285"/>
  <c r="CR285"/>
  <c r="CQ285"/>
  <c r="CP285"/>
  <c r="CO285"/>
  <c r="CN285"/>
  <c r="CM285"/>
  <c r="CL285"/>
  <c r="CK285"/>
  <c r="CJ285"/>
  <c r="CI285"/>
  <c r="CH285"/>
  <c r="CG285"/>
</calcChain>
</file>

<file path=xl/sharedStrings.xml><?xml version="1.0" encoding="utf-8"?>
<sst xmlns="http://schemas.openxmlformats.org/spreadsheetml/2006/main" count="2188" uniqueCount="760">
  <si>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</si>
  <si>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</si>
  <si>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</si>
  <si>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</si>
  <si>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</si>
  <si>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</si>
  <si>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</si>
  <si>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</si>
  <si>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</si>
  <si>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</si>
  <si>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</si>
  <si>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</si>
  <si>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Old Paint/Comments</t>
  </si>
  <si>
    <t>TS/TH</t>
  </si>
  <si>
    <t>-/-</t>
  </si>
  <si>
    <t>TH/TH</t>
  </si>
  <si>
    <t>TS/TS</t>
  </si>
  <si>
    <t>TH/TS</t>
  </si>
  <si>
    <t>Total Males on Beach</t>
  </si>
  <si>
    <t>RNAlater</t>
  </si>
  <si>
    <t>?/?</t>
  </si>
  <si>
    <t>N</t>
  </si>
  <si>
    <t>2010</t>
  </si>
  <si>
    <t>-0408</t>
  </si>
  <si>
    <t>0014</t>
  </si>
  <si>
    <t>0403</t>
  </si>
  <si>
    <t>1615</t>
  </si>
  <si>
    <t>1707</t>
  </si>
  <si>
    <t>2408</t>
  </si>
  <si>
    <t>Orange centre back</t>
  </si>
  <si>
    <r>
      <rPr>
        <b/>
        <sz val="10"/>
        <rFont val="Arial"/>
        <family val="2"/>
      </rPr>
      <t>MURPLE</t>
    </r>
    <r>
      <rPr>
        <sz val="10"/>
        <rFont val="Arial"/>
        <family val="2"/>
      </rPr>
      <t xml:space="preserve"> Purple (x1) centre rump and (x1) right flank</t>
    </r>
  </si>
  <si>
    <t>Mix dark blue/yellow centre rump (x1)</t>
  </si>
  <si>
    <r>
      <rPr>
        <b/>
        <sz val="10"/>
        <rFont val="Arial"/>
        <family val="2"/>
      </rPr>
      <t>OLD BOY</t>
    </r>
    <r>
      <rPr>
        <sz val="10"/>
        <rFont val="Arial"/>
        <family val="2"/>
      </rPr>
      <t xml:space="preserve"> Pale green rump (x1) and right flank (x1)</t>
    </r>
  </si>
  <si>
    <t>Lime (x2) centre rump</t>
  </si>
  <si>
    <t>TH/?</t>
  </si>
  <si>
    <t>0114</t>
  </si>
  <si>
    <t>0402</t>
  </si>
  <si>
    <t>1609</t>
  </si>
  <si>
    <t>Orange rump and right flank</t>
  </si>
  <si>
    <t>1515</t>
  </si>
  <si>
    <t>3407</t>
  </si>
  <si>
    <t>G5603/TH</t>
  </si>
  <si>
    <t>0406</t>
  </si>
  <si>
    <t>05-01</t>
  </si>
  <si>
    <t>1308</t>
  </si>
  <si>
    <t>2610</t>
  </si>
  <si>
    <t>3406</t>
  </si>
  <si>
    <t>3222</t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</si>
  <si>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Yellow (x1) rump and right neck/shoulder (x1)</t>
    </r>
  </si>
  <si>
    <t>No Paint</t>
  </si>
  <si>
    <t>0214</t>
  </si>
  <si>
    <t>0506</t>
  </si>
  <si>
    <t>1010</t>
  </si>
  <si>
    <t>1207</t>
  </si>
  <si>
    <t>1415</t>
  </si>
  <si>
    <t>2511</t>
  </si>
  <si>
    <r>
      <rPr>
        <b/>
        <sz val="10"/>
        <rFont val="Arial"/>
        <family val="2"/>
      </rPr>
      <t>SWIFT</t>
    </r>
    <r>
      <rPr>
        <sz val="10"/>
        <rFont val="Arial"/>
        <family val="2"/>
      </rPr>
      <t xml:space="preserve"> L Blue/Orange mix on rump (x3 dots in a triangle)</t>
    </r>
  </si>
  <si>
    <t>3420</t>
  </si>
  <si>
    <t>33-01</t>
  </si>
  <si>
    <t>Yellow/d blue mix right side (x1) and left (x1)</t>
  </si>
  <si>
    <t>-0423</t>
  </si>
  <si>
    <t>Orange over left fore flip (x1)</t>
  </si>
  <si>
    <t>AGM13001</t>
  </si>
  <si>
    <r>
      <t>Blue left flank and right rump -</t>
    </r>
    <r>
      <rPr>
        <b/>
        <sz val="10"/>
        <rFont val="Arial"/>
        <family val="2"/>
      </rPr>
      <t xml:space="preserve"> BLUE SHANKS</t>
    </r>
  </si>
  <si>
    <t>Pale green rump</t>
  </si>
  <si>
    <t>No paint</t>
  </si>
  <si>
    <t>Purple right shoulder</t>
  </si>
  <si>
    <t>Pale green right and left shoulders</t>
  </si>
  <si>
    <t>Purple left shoulder and left rump, right flank</t>
  </si>
  <si>
    <t>AGM13003</t>
  </si>
  <si>
    <r>
      <t xml:space="preserve">Pale blue right rump </t>
    </r>
    <r>
      <rPr>
        <b/>
        <sz val="10"/>
        <rFont val="Arial"/>
        <family val="2"/>
      </rPr>
      <t>BLUE BUM</t>
    </r>
  </si>
  <si>
    <t>2 Purple? mark on rump</t>
  </si>
  <si>
    <t>AGM13002</t>
  </si>
  <si>
    <r>
      <t xml:space="preserve">Purple left neck, left shoulder and right back </t>
    </r>
    <r>
      <rPr>
        <b/>
        <sz val="10"/>
        <rFont val="Arial"/>
        <family val="2"/>
      </rPr>
      <t>PURPLE EAR</t>
    </r>
  </si>
  <si>
    <t>Pale blue right chest</t>
  </si>
  <si>
    <t>AGM13004</t>
  </si>
  <si>
    <r>
      <t xml:space="preserve">2 x purple spots on right rump, 1 x left rump, pale green back x1 </t>
    </r>
    <r>
      <rPr>
        <b/>
        <sz val="10"/>
        <rFont val="Arial"/>
        <family val="2"/>
      </rPr>
      <t>MUMPS</t>
    </r>
  </si>
  <si>
    <t>Pale green/purple on left shoulder x 2</t>
  </si>
  <si>
    <t>AGM13005</t>
  </si>
  <si>
    <r>
      <rPr>
        <b/>
        <sz val="10"/>
        <rFont val="Arial"/>
        <family val="2"/>
      </rPr>
      <t>GREEN BEARD</t>
    </r>
    <r>
      <rPr>
        <sz val="10"/>
        <rFont val="Arial"/>
        <family val="2"/>
      </rPr>
      <t xml:space="preserve"> Pale green chest, left shoulder and right shoulder, orange left rump, NEW two pale green marks on left shoulder</t>
    </r>
  </si>
  <si>
    <t>AGM13006</t>
  </si>
  <si>
    <r>
      <t xml:space="preserve">Yellow right rump and left chest, 3x new yellow marks on right rump </t>
    </r>
    <r>
      <rPr>
        <b/>
        <sz val="10"/>
        <rFont val="Arial"/>
        <family val="2"/>
      </rPr>
      <t>CUSTARD</t>
    </r>
  </si>
  <si>
    <t>Blue centre back, orange right ruff</t>
  </si>
  <si>
    <t>AGM13007</t>
  </si>
  <si>
    <r>
      <t xml:space="preserve">Yellow left rump, blue centre back </t>
    </r>
    <r>
      <rPr>
        <b/>
        <sz val="10"/>
        <rFont val="Arial"/>
        <family val="2"/>
      </rPr>
      <t>OLD BOY</t>
    </r>
  </si>
  <si>
    <t>Notch in right flipper, possibly AGM12085 or AGM12033</t>
  </si>
  <si>
    <t>AGM13009</t>
  </si>
  <si>
    <r>
      <t xml:space="preserve">Lime/pale green left and right shoulder, blue left flank, pale blue/green mix on rump </t>
    </r>
    <r>
      <rPr>
        <b/>
        <sz val="10"/>
        <rFont val="Arial"/>
        <family val="2"/>
      </rPr>
      <t>GREEN SHOULDER</t>
    </r>
  </si>
  <si>
    <t>AGM13008</t>
  </si>
  <si>
    <r>
      <rPr>
        <b/>
        <sz val="10"/>
        <rFont val="Arial"/>
        <family val="2"/>
      </rPr>
      <t>ALGAE,</t>
    </r>
    <r>
      <rPr>
        <sz val="10"/>
        <rFont val="Arial"/>
        <family val="2"/>
      </rPr>
      <t xml:space="preserve"> New Lime green left flank, pale green/lime green mix on left back. Blue/green on right flank, lime green/pale blue mix on left flank </t>
    </r>
  </si>
  <si>
    <t>AGM13010</t>
  </si>
  <si>
    <r>
      <t xml:space="preserve">Yellow right flank and yellow streak on left back, blue speckled chest </t>
    </r>
    <r>
      <rPr>
        <b/>
        <sz val="10"/>
        <rFont val="Arial"/>
        <family val="2"/>
      </rPr>
      <t>YELLOW SPOTS</t>
    </r>
  </si>
  <si>
    <t>Notch in left flipper</t>
  </si>
  <si>
    <t>AGM13011</t>
  </si>
  <si>
    <r>
      <t xml:space="preserve">Royal blue right face </t>
    </r>
    <r>
      <rPr>
        <b/>
        <sz val="10"/>
        <rFont val="Arial"/>
        <family val="2"/>
      </rPr>
      <t>BLUE FACE</t>
    </r>
  </si>
  <si>
    <t>2 x dark green on rump</t>
  </si>
  <si>
    <t>AGM13012</t>
  </si>
  <si>
    <r>
      <t xml:space="preserve">Purple right shoulder and left chest </t>
    </r>
    <r>
      <rPr>
        <b/>
        <sz val="10"/>
        <rFont val="Arial"/>
        <family val="2"/>
      </rPr>
      <t>MURPLE</t>
    </r>
  </si>
  <si>
    <t>AGM13013</t>
  </si>
  <si>
    <r>
      <t xml:space="preserve">Pale green right rump/flank, pale green rump </t>
    </r>
    <r>
      <rPr>
        <b/>
        <sz val="10"/>
        <rFont val="Arial"/>
        <family val="2"/>
      </rPr>
      <t>CHUNKS</t>
    </r>
  </si>
  <si>
    <t>AGM13014</t>
  </si>
  <si>
    <r>
      <t xml:space="preserve">Pale/Dark blue on left flank, 2x dark blue marks on back </t>
    </r>
    <r>
      <rPr>
        <b/>
        <sz val="10"/>
        <rFont val="Arial"/>
        <family val="2"/>
      </rPr>
      <t>MIKE</t>
    </r>
  </si>
  <si>
    <t>Old yellow paint mark on head</t>
  </si>
  <si>
    <t>AGM13015</t>
  </si>
  <si>
    <r>
      <rPr>
        <b/>
        <sz val="10"/>
        <rFont val="Arial"/>
        <family val="2"/>
      </rPr>
      <t xml:space="preserve">MOHAWK </t>
    </r>
    <r>
      <rPr>
        <sz val="10"/>
        <rFont val="Arial"/>
        <family val="2"/>
      </rPr>
      <t xml:space="preserve">Old yellow paint mark on head (mohawk), pale blue right shoulder, purple right rump and right flank, lime green centre back </t>
    </r>
  </si>
  <si>
    <t>Old green right rump</t>
  </si>
  <si>
    <t>AGM13016</t>
  </si>
  <si>
    <r>
      <t xml:space="preserve">Purple right flank, yellow right shoulder, yellow right whiskers </t>
    </r>
    <r>
      <rPr>
        <b/>
        <sz val="10"/>
        <rFont val="Arial"/>
        <family val="2"/>
      </rPr>
      <t>JAUNDICE</t>
    </r>
  </si>
  <si>
    <t>Old yellow on centre back</t>
  </si>
  <si>
    <t>Cut/scar on left flipper and front</t>
  </si>
  <si>
    <t>AGM13042</t>
  </si>
  <si>
    <r>
      <t xml:space="preserve">Orange and lime green adjoining marks on left flank </t>
    </r>
    <r>
      <rPr>
        <b/>
        <sz val="10"/>
        <rFont val="Arial"/>
        <family val="2"/>
      </rPr>
      <t>TIC TAC</t>
    </r>
  </si>
  <si>
    <t>Old blue paint mark on rump</t>
  </si>
  <si>
    <t>AGM13017</t>
  </si>
  <si>
    <r>
      <t xml:space="preserve">Pale blue (w. lime green) right rump </t>
    </r>
    <r>
      <rPr>
        <b/>
        <sz val="10"/>
        <rFont val="Arial"/>
        <family val="2"/>
      </rPr>
      <t>BLUE BUM 2</t>
    </r>
  </si>
  <si>
    <t>Old green back</t>
  </si>
  <si>
    <t>AGM13019</t>
  </si>
  <si>
    <r>
      <t xml:space="preserve">Purple central/lower chest, orange right flank </t>
    </r>
    <r>
      <rPr>
        <b/>
        <sz val="10"/>
        <rFont val="Arial"/>
        <family val="2"/>
      </rPr>
      <t>MURRAY</t>
    </r>
  </si>
  <si>
    <t>AGM13018</t>
  </si>
  <si>
    <r>
      <rPr>
        <b/>
        <sz val="10"/>
        <rFont val="Arial"/>
        <family val="2"/>
      </rPr>
      <t xml:space="preserve">THE THING </t>
    </r>
    <r>
      <rPr>
        <sz val="10"/>
        <rFont val="Arial"/>
        <family val="2"/>
      </rPr>
      <t xml:space="preserve">Orange centre back, and orange right front shoulder, 3x new orange marks on centre and left back </t>
    </r>
  </si>
  <si>
    <t>Old orange head and back/rump</t>
  </si>
  <si>
    <t>Lime green/yellow central rump, yellow left flank</t>
  </si>
  <si>
    <t>AGM13021</t>
  </si>
  <si>
    <r>
      <t xml:space="preserve">Orange left shoulder and left back, 2-3 blue marks on chest </t>
    </r>
    <r>
      <rPr>
        <b/>
        <sz val="10"/>
        <rFont val="Arial"/>
        <family val="2"/>
      </rPr>
      <t>BLUE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GINGER</t>
    </r>
  </si>
  <si>
    <t>Old yellow centre back possible AGM12010</t>
  </si>
  <si>
    <t>AGM13020</t>
  </si>
  <si>
    <r>
      <t xml:space="preserve">2 yellow spots on top left chest, small blue right flank </t>
    </r>
    <r>
      <rPr>
        <b/>
        <sz val="10"/>
        <rFont val="Arial"/>
        <family val="2"/>
      </rPr>
      <t>SWEDEN</t>
    </r>
  </si>
  <si>
    <t>Large lime green centre chest</t>
  </si>
  <si>
    <t>Old marks on right rump, 3x marks across shoulders</t>
  </si>
  <si>
    <t>AGM13030</t>
  </si>
  <si>
    <r>
      <t xml:space="preserve">Large yellow centre back, yellow (w. blue) back </t>
    </r>
    <r>
      <rPr>
        <b/>
        <sz val="10"/>
        <rFont val="Arial"/>
        <family val="2"/>
      </rPr>
      <t>THE WIMPY KID</t>
    </r>
  </si>
  <si>
    <t>AGM13024</t>
  </si>
  <si>
    <t>Orange left rump, light blue left flank (both marks with a hint of yellow)</t>
  </si>
  <si>
    <t>AGM13022</t>
  </si>
  <si>
    <r>
      <t xml:space="preserve">Lime green on right flank and left chest </t>
    </r>
    <r>
      <rPr>
        <b/>
        <sz val="10"/>
        <rFont val="Arial"/>
        <family val="2"/>
      </rPr>
      <t>LIME'S DISEASE</t>
    </r>
  </si>
  <si>
    <t>Small orange scar on left flip</t>
  </si>
  <si>
    <t>AGM13023</t>
  </si>
  <si>
    <r>
      <t xml:space="preserve">Yellow left flank (hint of purple), blue front right shoulder, purple/blue above right flipper </t>
    </r>
    <r>
      <rPr>
        <b/>
        <sz val="10"/>
        <rFont val="Arial"/>
        <family val="2"/>
      </rPr>
      <t>ORANGE SCAR</t>
    </r>
  </si>
  <si>
    <t>Old orange/yellow mark on head, dark blue centre back, pale blue (w. lime green) on right flank</t>
  </si>
  <si>
    <t>AGM13041</t>
  </si>
  <si>
    <r>
      <rPr>
        <b/>
        <sz val="10"/>
        <rFont val="Arial"/>
        <family val="2"/>
      </rPr>
      <t>BLUE SUNRISE</t>
    </r>
    <r>
      <rPr>
        <sz val="10"/>
        <rFont val="Arial"/>
        <family val="2"/>
      </rPr>
      <t xml:space="preserve"> Dark blue left and right flank</t>
    </r>
  </si>
  <si>
    <t>Small light blue (hint of yellow) centre back</t>
  </si>
  <si>
    <t>AGM13025</t>
  </si>
  <si>
    <t>Mixture of orange and light blue marks on left flank x2</t>
  </si>
  <si>
    <t>T-shaped scar on back, bad eyes</t>
  </si>
  <si>
    <t>AGM13026</t>
  </si>
  <si>
    <r>
      <t xml:space="preserve">Orange back and light green left rump and light green left shoulder </t>
    </r>
    <r>
      <rPr>
        <b/>
        <sz val="10"/>
        <rFont val="Arial"/>
        <family val="2"/>
      </rPr>
      <t>BACKSCAR</t>
    </r>
  </si>
  <si>
    <t>Dark blue right chest</t>
  </si>
  <si>
    <t>Orange left upper chest</t>
  </si>
  <si>
    <t>?/-</t>
  </si>
  <si>
    <t>Old marks on right shoulder and right flank</t>
  </si>
  <si>
    <r>
      <rPr>
        <b/>
        <sz val="10"/>
        <rFont val="Arial"/>
        <family val="2"/>
      </rPr>
      <t xml:space="preserve">GREEN FLIP. </t>
    </r>
    <r>
      <rPr>
        <sz val="10"/>
        <rFont val="Arial"/>
        <family val="2"/>
      </rPr>
      <t>NEW pale blue/pale green centre rump and lime green right rump, orange/lime green right chest, beard of pale blue/lime green/orange.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 xml:space="preserve">Yellow (with orange centre) upper central chest, pale green just about left flipper, small pale green and yellow markings under chin, 2 light green marks on left flank (with hint of purple), </t>
    </r>
  </si>
  <si>
    <t>Scars on flippers and left cheek</t>
  </si>
  <si>
    <t>AGM13027</t>
  </si>
  <si>
    <r>
      <t xml:space="preserve">Large lime green centre rump, 2x smaller purple marks on either side of green mark </t>
    </r>
    <r>
      <rPr>
        <b/>
        <sz val="10"/>
        <rFont val="Arial"/>
        <family val="2"/>
      </rPr>
      <t>SCARFACE</t>
    </r>
  </si>
  <si>
    <t>AGM13033</t>
  </si>
  <si>
    <r>
      <rPr>
        <b/>
        <sz val="10"/>
        <rFont val="Arial"/>
        <family val="2"/>
      </rPr>
      <t>STREAKS</t>
    </r>
    <r>
      <rPr>
        <sz val="10"/>
        <rFont val="Arial"/>
        <family val="2"/>
      </rPr>
      <t xml:space="preserve"> Blue/green spot on chest, streak on left flank, and lower right lip/jaw, yellow smear left flank light green left rump</t>
    </r>
  </si>
  <si>
    <t>Old yellow piant mark on left/front chest</t>
  </si>
  <si>
    <t>AGM13028</t>
  </si>
  <si>
    <r>
      <t xml:space="preserve">Orange/yellow left/front chest </t>
    </r>
    <r>
      <rPr>
        <b/>
        <sz val="10"/>
        <rFont val="Arial"/>
        <family val="2"/>
      </rPr>
      <t>ORANGE SHOULDER</t>
    </r>
  </si>
  <si>
    <t>-/?</t>
  </si>
  <si>
    <t>Old green back of head, unrecognisable old mark on back</t>
  </si>
  <si>
    <t>AGM13038</t>
  </si>
  <si>
    <r>
      <t xml:space="preserve">Purple (hint of blue) central rump, purple right flank </t>
    </r>
    <r>
      <rPr>
        <b/>
        <sz val="10"/>
        <rFont val="Arial"/>
        <family val="2"/>
      </rPr>
      <t>FEDERER</t>
    </r>
  </si>
  <si>
    <t xml:space="preserve">Orange/yellow central chest and lower left front, dark blue left shoulder and central rump, yellow left rump </t>
  </si>
  <si>
    <t>AGM13032</t>
  </si>
  <si>
    <r>
      <rPr>
        <b/>
        <sz val="10"/>
        <rFont val="Arial"/>
        <family val="2"/>
      </rPr>
      <t>FADER</t>
    </r>
    <r>
      <rPr>
        <sz val="10"/>
        <rFont val="Arial"/>
        <family val="2"/>
      </rPr>
      <t xml:space="preserve"> Blue right flank, orange centre back and left shoulder</t>
    </r>
  </si>
  <si>
    <t>?</t>
  </si>
  <si>
    <t>AGM13029</t>
  </si>
  <si>
    <r>
      <rPr>
        <b/>
        <sz val="10"/>
        <rFont val="Arial"/>
        <family val="2"/>
      </rPr>
      <t>MARBLES</t>
    </r>
    <r>
      <rPr>
        <sz val="10"/>
        <rFont val="Arial"/>
        <family val="2"/>
      </rPr>
      <t xml:space="preserve"> Purple back neck, 2x orange back, orange upper left chest, blue/yellow mix right flank, orange/blue mix left flank</t>
    </r>
    <r>
      <rPr>
        <b/>
        <sz val="10"/>
        <rFont val="Arial"/>
        <family val="2"/>
      </rPr>
      <t xml:space="preserve"> </t>
    </r>
  </si>
  <si>
    <t>Faint yellow mark on left neck, central back mark with no clear colour</t>
  </si>
  <si>
    <t>Old paint - Faint yellow mark on left neck, central back</t>
  </si>
  <si>
    <t>Faded pale green or blue mark on centre back and faded purple mark on left rump</t>
  </si>
  <si>
    <t>AGM13031</t>
  </si>
  <si>
    <r>
      <rPr>
        <b/>
        <sz val="10"/>
        <rFont val="Arial"/>
        <family val="2"/>
      </rPr>
      <t xml:space="preserve">MEDLEY </t>
    </r>
    <r>
      <rPr>
        <sz val="10"/>
        <rFont val="Arial"/>
        <family val="2"/>
      </rPr>
      <t xml:space="preserve">purple+yellow+orange/yellow left centre rump plus faded orange/purple mixture on right rump/flank </t>
    </r>
  </si>
  <si>
    <t>Orange/yellow back of head, faded blue left rump</t>
  </si>
  <si>
    <t>Orange left back, faded pale blue left rump, light blue/yellow centre rump</t>
  </si>
  <si>
    <t xml:space="preserve">Missing notch in left flip. Pale green/purple on back of right shoulder. Yellow centre upper back, purple left shoulder/back, purple/light green left upper back, New blue/purple left back, yellow streak right flank. </t>
  </si>
  <si>
    <r>
      <rPr>
        <b/>
        <sz val="10"/>
        <rFont val="Arial"/>
        <family val="2"/>
      </rPr>
      <t xml:space="preserve">YELLOW FACE </t>
    </r>
    <r>
      <rPr>
        <sz val="10"/>
        <rFont val="Arial"/>
        <family val="2"/>
      </rPr>
      <t>Yellow left face, purple left shoulder, purple chest. Blue left chest, left flank, centre chest</t>
    </r>
  </si>
  <si>
    <t>Yellow/pale green mark on back of head, faded orang right rump</t>
  </si>
  <si>
    <t>AGM13039</t>
  </si>
  <si>
    <r>
      <rPr>
        <b/>
        <sz val="10"/>
        <rFont val="Arial"/>
        <family val="2"/>
      </rPr>
      <t xml:space="preserve">LIME BUM </t>
    </r>
    <r>
      <rPr>
        <sz val="10"/>
        <rFont val="Arial"/>
        <family val="2"/>
      </rPr>
      <t>Lime green bum, blue streak centre back</t>
    </r>
  </si>
  <si>
    <t>Old orange paint mark on back of head, pale blue upper back, yellow right rump, old orange left rump</t>
  </si>
  <si>
    <t>AGM13035</t>
  </si>
  <si>
    <r>
      <t xml:space="preserve">Yellow right rump, orange (w. yellow) left rump, light blue (w. yellow) centre back </t>
    </r>
    <r>
      <rPr>
        <b/>
        <sz val="10"/>
        <rFont val="Arial"/>
        <family val="2"/>
      </rPr>
      <t>CALIPPO</t>
    </r>
  </si>
  <si>
    <t>Faded orange rump, faded yellow upper back</t>
  </si>
  <si>
    <t>Yellow centre back, orange centre rump</t>
  </si>
  <si>
    <t>Cut on right hind flipper</t>
  </si>
  <si>
    <t>2 yellow spots on centre back</t>
  </si>
  <si>
    <t>AGM13040</t>
  </si>
  <si>
    <r>
      <rPr>
        <b/>
        <sz val="10"/>
        <rFont val="Arial"/>
        <family val="2"/>
      </rPr>
      <t>JEFF</t>
    </r>
    <r>
      <rPr>
        <sz val="10"/>
        <rFont val="Arial"/>
        <family val="2"/>
      </rPr>
      <t xml:space="preserve"> Pale blue/yellow mix on centre rump, centre lower back, left flank. Orange right shoulder and orange right rump</t>
    </r>
  </si>
  <si>
    <t>Old paint centre back</t>
  </si>
  <si>
    <r>
      <t xml:space="preserve">Light blue left beard and right shoulder and right flank. 2 yellow dots on left rump. </t>
    </r>
    <r>
      <rPr>
        <b/>
        <sz val="10"/>
        <rFont val="Arial"/>
        <family val="2"/>
      </rPr>
      <t>LITTLE BOY BLUE</t>
    </r>
  </si>
  <si>
    <t>?/TH</t>
  </si>
  <si>
    <t>Old left head, left back shoulder, broken canine</t>
  </si>
  <si>
    <r>
      <t xml:space="preserve">Dark blue left shoulder and left rump, lime green streak left flank </t>
    </r>
    <r>
      <rPr>
        <b/>
        <sz val="10"/>
        <rFont val="Arial"/>
        <family val="2"/>
      </rPr>
      <t>7UP</t>
    </r>
  </si>
  <si>
    <t>Orange centre back, lime green/pale blue rump</t>
  </si>
  <si>
    <t>AGM13037</t>
  </si>
  <si>
    <r>
      <t xml:space="preserve">Yellow left flank and left rump, lime green left chest, right flank, right rump </t>
    </r>
    <r>
      <rPr>
        <b/>
        <sz val="10"/>
        <rFont val="Arial"/>
        <family val="2"/>
      </rPr>
      <t>LEMON AND LIME</t>
    </r>
  </si>
  <si>
    <t>Yellow right chest, yellow left shoulder</t>
  </si>
  <si>
    <t>Yellow right shoulder</t>
  </si>
  <si>
    <t>Scarred nose, scar left flip</t>
  </si>
  <si>
    <t>AGM13036</t>
  </si>
  <si>
    <r>
      <t xml:space="preserve">Purple back, left chest, lime green left chest and above right flip </t>
    </r>
    <r>
      <rPr>
        <b/>
        <sz val="10"/>
        <rFont val="Arial"/>
        <family val="2"/>
      </rPr>
      <t>BROWNNOSE</t>
    </r>
  </si>
  <si>
    <t>Yellow right shoulder, left chest, two pale green marks in between</t>
  </si>
  <si>
    <t>AGM13034</t>
  </si>
  <si>
    <r>
      <t xml:space="preserve">Square of 4 dots. 2x dark blue, 2x lime green </t>
    </r>
    <r>
      <rPr>
        <b/>
        <sz val="10"/>
        <rFont val="Arial"/>
        <family val="2"/>
      </rPr>
      <t>SPRITE</t>
    </r>
  </si>
  <si>
    <t>Blue and yellow adjacent marks on chest, yellow left flank</t>
  </si>
  <si>
    <r>
      <t xml:space="preserve">2 x orange chest, purple right shoulder and left back </t>
    </r>
    <r>
      <rPr>
        <b/>
        <sz val="10"/>
        <rFont val="Arial"/>
        <family val="2"/>
      </rPr>
      <t>CANTALOUPES</t>
    </r>
  </si>
  <si>
    <t>Yellow left chest, orange back</t>
  </si>
  <si>
    <t>Red left eye</t>
  </si>
  <si>
    <t>Blue chest, back left shoulder, yellow/orange left chest and left shoulder</t>
  </si>
  <si>
    <t>Sub - adult</t>
  </si>
  <si>
    <r>
      <rPr>
        <b/>
        <sz val="10"/>
        <rFont val="Arial"/>
        <family val="2"/>
      </rPr>
      <t xml:space="preserve">PURPLE RAIN </t>
    </r>
    <r>
      <rPr>
        <sz val="10"/>
        <rFont val="Arial"/>
        <family val="2"/>
      </rPr>
      <t>Purple centre chest, purple left shoulder. Blue right shoulder and right flank.</t>
    </r>
  </si>
  <si>
    <r>
      <rPr>
        <b/>
        <sz val="10"/>
        <rFont val="Arial"/>
        <family val="2"/>
      </rPr>
      <t xml:space="preserve">BRAMBLES </t>
    </r>
    <r>
      <rPr>
        <sz val="10"/>
        <rFont val="Arial"/>
        <family val="2"/>
      </rPr>
      <t>Purple back and right flank, pale green centre back and rump</t>
    </r>
  </si>
  <si>
    <t>Scar/old orange paint centre back?</t>
  </si>
  <si>
    <t>PIT: 04121E7D35</t>
  </si>
  <si>
    <r>
      <rPr>
        <b/>
        <sz val="10"/>
        <rFont val="Arial"/>
        <family val="2"/>
      </rPr>
      <t>FIREFOX</t>
    </r>
    <r>
      <rPr>
        <sz val="10"/>
        <rFont val="Arial"/>
        <family val="2"/>
      </rPr>
      <t xml:space="preserve"> Orange left flank and left neck, left upper chest, right chest</t>
    </r>
  </si>
  <si>
    <r>
      <rPr>
        <b/>
        <sz val="10"/>
        <rFont val="Arial"/>
        <family val="2"/>
      </rPr>
      <t xml:space="preserve">IRON MAN </t>
    </r>
    <r>
      <rPr>
        <sz val="10"/>
        <rFont val="Arial"/>
        <family val="2"/>
      </rPr>
      <t xml:space="preserve">Yellow/orange mix centre chest and flank (x2) </t>
    </r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</si>
  <si>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Pale right shoulder, yellow left flank</t>
    </r>
  </si>
  <si>
    <t>Pale green left flank, dark blue centre back, chest, chin</t>
  </si>
  <si>
    <t>Orange back right shouler, yellow front right shoulder</t>
  </si>
  <si>
    <r>
      <rPr>
        <b/>
        <sz val="10"/>
        <rFont val="Arial"/>
        <family val="2"/>
      </rPr>
      <t>YELLOW BELLY</t>
    </r>
    <r>
      <rPr>
        <sz val="10"/>
        <rFont val="Arial"/>
        <family val="2"/>
      </rPr>
      <t xml:space="preserve"> Yellow chest, blue left shoulder</t>
    </r>
  </si>
  <si>
    <t>Blue chest and yellow centre back</t>
  </si>
  <si>
    <t>Orange, yellow, and purple rump</t>
  </si>
  <si>
    <t>Pale green rump x2</t>
  </si>
  <si>
    <t>Dark blue right rump, purple left rump</t>
  </si>
  <si>
    <t>Old blue head</t>
  </si>
  <si>
    <t>Pale blue centre back, centre rump</t>
  </si>
  <si>
    <t>Purple centre rump, orange right rump and right flank</t>
  </si>
  <si>
    <t>Orange left rump and back, dark blue right rump and back</t>
  </si>
  <si>
    <t>Yellow centre rump</t>
  </si>
  <si>
    <t>Pale blue rump, right flank, pale green left shoulder, chest</t>
  </si>
  <si>
    <t>1610</t>
  </si>
  <si>
    <t>3009</t>
  </si>
  <si>
    <t>3422</t>
  </si>
  <si>
    <t>0520</t>
  </si>
  <si>
    <t>Purple rump (x1)</t>
  </si>
  <si>
    <t>0212</t>
  </si>
  <si>
    <t>0311</t>
  </si>
  <si>
    <t>0309</t>
  </si>
  <si>
    <t>1012</t>
  </si>
  <si>
    <r>
      <rPr>
        <b/>
        <sz val="10"/>
        <rFont val="Arial"/>
        <family val="2"/>
      </rPr>
      <t>BLUEBACK</t>
    </r>
    <r>
      <rPr>
        <sz val="10"/>
        <rFont val="Arial"/>
        <family val="2"/>
      </rPr>
      <t xml:space="preserve"> Large dark blue centre back (x1)</t>
    </r>
  </si>
  <si>
    <t>1115</t>
  </si>
  <si>
    <t>1313</t>
  </si>
  <si>
    <t>2409</t>
  </si>
  <si>
    <t>3506</t>
  </si>
  <si>
    <t>3620</t>
  </si>
  <si>
    <t>0312</t>
  </si>
  <si>
    <t>0507</t>
  </si>
  <si>
    <t>1009</t>
  </si>
  <si>
    <t>0907</t>
  </si>
  <si>
    <t>1612</t>
  </si>
  <si>
    <t>1715</t>
  </si>
  <si>
    <t>2908</t>
  </si>
  <si>
    <t>3110</t>
  </si>
  <si>
    <t>32-01</t>
  </si>
  <si>
    <r>
      <rPr>
        <b/>
        <sz val="10"/>
        <rFont val="Arial"/>
        <family val="2"/>
      </rPr>
      <t>SPRITE LEFT</t>
    </r>
    <r>
      <rPr>
        <sz val="10"/>
        <rFont val="Arial"/>
        <family val="2"/>
      </rPr>
      <t xml:space="preserve"> Lime green (x1) and d blue (x1) left flank</t>
    </r>
  </si>
  <si>
    <t>Lime green (x1) low chest and (x1) above left foreflip</t>
  </si>
  <si>
    <r>
      <rPr>
        <b/>
        <sz val="10"/>
        <rFont val="Arial"/>
        <family val="2"/>
      </rPr>
      <t>SCREECH</t>
    </r>
    <r>
      <rPr>
        <sz val="10"/>
        <rFont val="Arial"/>
        <family val="2"/>
      </rPr>
      <t xml:space="preserve"> D Blue/Purple mix (x1) left rump and lime green (x1) right rump</t>
    </r>
  </si>
  <si>
    <t>3318</t>
  </si>
  <si>
    <t>Blue and orange back, orange lower chest</t>
  </si>
  <si>
    <t>0405</t>
  </si>
  <si>
    <t>06-01</t>
  </si>
  <si>
    <t>0300</t>
  </si>
  <si>
    <t>0906</t>
  </si>
  <si>
    <t>1510</t>
  </si>
  <si>
    <t>2809</t>
  </si>
  <si>
    <t>32-02</t>
  </si>
  <si>
    <t>3300</t>
  </si>
  <si>
    <r>
      <rPr>
        <b/>
        <sz val="10"/>
        <rFont val="Arial"/>
        <family val="2"/>
      </rPr>
      <t>WILLIAM</t>
    </r>
    <r>
      <rPr>
        <sz val="10"/>
        <rFont val="Arial"/>
        <family val="2"/>
      </rPr>
      <t xml:space="preserve"> Orange right rump (x1), left flank (x1) and streak on right flank (x1), d blue/purple mix lower rump (x1)</t>
    </r>
  </si>
  <si>
    <t>0306</t>
  </si>
  <si>
    <t>IT</t>
  </si>
  <si>
    <t>0808</t>
  </si>
  <si>
    <t>1110</t>
  </si>
  <si>
    <t>Orange behind right ear</t>
  </si>
  <si>
    <t>1611</t>
  </si>
  <si>
    <t>1915</t>
  </si>
  <si>
    <t>2110</t>
  </si>
  <si>
    <t>2818</t>
  </si>
  <si>
    <t>3111</t>
  </si>
  <si>
    <t>3200</t>
  </si>
  <si>
    <t>Sub adult</t>
  </si>
  <si>
    <t>Light blue (x2) on right shoulder/chest</t>
  </si>
  <si>
    <r>
      <rPr>
        <b/>
        <sz val="10"/>
        <rFont val="Arial"/>
        <family val="2"/>
      </rPr>
      <t>IRON MAN</t>
    </r>
    <r>
      <rPr>
        <sz val="10"/>
        <rFont val="Arial"/>
        <family val="2"/>
      </rPr>
      <t xml:space="preserve"> Orange centre chest (x1),, left shoulder (x1), and centre rump (x1)</t>
    </r>
  </si>
  <si>
    <r>
      <rPr>
        <b/>
        <sz val="10"/>
        <rFont val="Arial"/>
        <family val="2"/>
      </rPr>
      <t>TRAFFIC LIGHTS</t>
    </r>
    <r>
      <rPr>
        <sz val="10"/>
        <rFont val="Arial"/>
        <family val="2"/>
      </rPr>
      <t xml:space="preserve"> Three dots in a line (yellow/orange, light blue, light blue) on left flank</t>
    </r>
  </si>
  <si>
    <r>
      <rPr>
        <b/>
        <sz val="10"/>
        <rFont val="Arial"/>
        <family val="2"/>
      </rPr>
      <t>SUNSHINE</t>
    </r>
    <r>
      <rPr>
        <sz val="10"/>
        <rFont val="Arial"/>
        <family val="2"/>
      </rPr>
      <t xml:space="preserve"> Yellow/orange mix left rump (x1)</t>
    </r>
  </si>
  <si>
    <t>Purple centre rump (x1), small light blue mark left flank (x1)</t>
  </si>
  <si>
    <t>0113</t>
  </si>
  <si>
    <t>0904</t>
  </si>
  <si>
    <t>1116</t>
  </si>
  <si>
    <t>1109</t>
  </si>
  <si>
    <t>2311</t>
  </si>
  <si>
    <t>3109</t>
  </si>
  <si>
    <r>
      <rPr>
        <b/>
        <sz val="10"/>
        <rFont val="Arial"/>
        <family val="2"/>
      </rPr>
      <t>STREAK</t>
    </r>
    <r>
      <rPr>
        <sz val="10"/>
        <rFont val="Arial"/>
        <family val="2"/>
      </rPr>
      <t xml:space="preserve"> Orange smear (above foreflip) and dot on left flank, D blue on centre chest (x1)</t>
    </r>
  </si>
  <si>
    <t>0213</t>
  </si>
  <si>
    <t>1114</t>
  </si>
  <si>
    <t>2111</t>
  </si>
  <si>
    <t>3108</t>
  </si>
  <si>
    <t>-0213</t>
  </si>
  <si>
    <t>0807</t>
  </si>
  <si>
    <t>1004</t>
  </si>
  <si>
    <t>1409</t>
  </si>
  <si>
    <t>1008</t>
  </si>
  <si>
    <t>3212</t>
  </si>
  <si>
    <t>3119</t>
  </si>
  <si>
    <t>Old paint above right shoulder</t>
  </si>
  <si>
    <t>0510</t>
  </si>
  <si>
    <t>0404</t>
  </si>
  <si>
    <t>0706</t>
  </si>
  <si>
    <t>1014</t>
  </si>
  <si>
    <t>3214</t>
  </si>
  <si>
    <t>-0510</t>
  </si>
  <si>
    <t>-0617</t>
  </si>
  <si>
    <t>0310</t>
  </si>
  <si>
    <t>0508</t>
  </si>
  <si>
    <t>0611</t>
  </si>
  <si>
    <t>0911</t>
  </si>
  <si>
    <t>Scar over right eye</t>
  </si>
  <si>
    <t>2011</t>
  </si>
  <si>
    <t>3208</t>
  </si>
  <si>
    <t>3312</t>
  </si>
  <si>
    <r>
      <rPr>
        <b/>
        <sz val="10"/>
        <rFont val="Arial"/>
        <family val="2"/>
      </rPr>
      <t>MARBLES</t>
    </r>
    <r>
      <rPr>
        <sz val="10"/>
        <rFont val="Arial"/>
        <family val="2"/>
      </rPr>
      <t xml:space="preserve"> Purple (x1) left flank, orange (x1) right back</t>
    </r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</si>
  <si>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 xml:space="preserve"> Smear of pale green/purple (x1) on back </t>
    </r>
  </si>
  <si>
    <r>
      <rPr>
        <b/>
        <sz val="10"/>
        <rFont val="Arial"/>
        <family val="2"/>
      </rPr>
      <t>LIMEY</t>
    </r>
    <r>
      <rPr>
        <sz val="10"/>
        <rFont val="Arial"/>
        <family val="2"/>
      </rPr>
      <t xml:space="preserve"> Lime green (x1) centre rump and (x1) centre chest, and (x1) back</t>
    </r>
  </si>
  <si>
    <t>Yellow rump</t>
  </si>
  <si>
    <r>
      <rPr>
        <b/>
        <sz val="10"/>
        <rFont val="Arial"/>
        <family val="2"/>
      </rPr>
      <t>CALIPPO</t>
    </r>
    <r>
      <rPr>
        <sz val="10"/>
        <rFont val="Arial"/>
        <family val="2"/>
      </rPr>
      <t xml:space="preserve"> Yellow (x1) and orange (x2) marks on rump</t>
    </r>
  </si>
  <si>
    <t>0711</t>
  </si>
  <si>
    <t>0813</t>
  </si>
  <si>
    <t>0604</t>
  </si>
  <si>
    <t>0804</t>
  </si>
  <si>
    <t>Notch missing from right flip. Old orange paint on left shoulder, yellow rump</t>
  </si>
  <si>
    <t>1005</t>
  </si>
  <si>
    <t>1619</t>
  </si>
  <si>
    <t>2109</t>
  </si>
  <si>
    <t>3311</t>
  </si>
  <si>
    <r>
      <rPr>
        <b/>
        <sz val="10"/>
        <rFont val="Arial"/>
        <family val="2"/>
      </rPr>
      <t>NOTCH</t>
    </r>
    <r>
      <rPr>
        <sz val="10"/>
        <rFont val="Arial"/>
        <family val="2"/>
      </rPr>
      <t xml:space="preserve"> Blue streak (x1) and light green strea (x1) on back</t>
    </r>
  </si>
  <si>
    <t>-0618</t>
  </si>
  <si>
    <r>
      <rPr>
        <b/>
        <sz val="10"/>
        <rFont val="Arial"/>
        <family val="2"/>
      </rPr>
      <t xml:space="preserve">GREEN BUM </t>
    </r>
    <r>
      <rPr>
        <sz val="10"/>
        <rFont val="Arial"/>
        <family val="2"/>
      </rPr>
      <t>Pale green left chest (x1) and lower centre rump (x1)</t>
    </r>
  </si>
  <si>
    <t>0015</t>
  </si>
  <si>
    <t>Old paint on back of head</t>
  </si>
  <si>
    <t>0411</t>
  </si>
  <si>
    <t>0407</t>
  </si>
  <si>
    <t>0610</t>
  </si>
  <si>
    <t>0803</t>
  </si>
  <si>
    <t>1006</t>
  </si>
  <si>
    <t>0812</t>
  </si>
  <si>
    <t>1709</t>
  </si>
  <si>
    <t>3107</t>
  </si>
  <si>
    <t>3114</t>
  </si>
  <si>
    <t>-0714</t>
  </si>
  <si>
    <t>-0214</t>
  </si>
  <si>
    <t>0913</t>
  </si>
  <si>
    <t>1408</t>
  </si>
  <si>
    <t>3213</t>
  </si>
  <si>
    <t>Injured left eye</t>
  </si>
  <si>
    <r>
      <rPr>
        <b/>
        <sz val="10"/>
        <rFont val="Arial"/>
        <family val="2"/>
      </rPr>
      <t>PURPLE BEARD</t>
    </r>
    <r>
      <rPr>
        <sz val="10"/>
        <rFont val="Arial"/>
        <family val="2"/>
      </rPr>
      <t xml:space="preserve"> Lime green (x1) right chest, purple/orange left chest</t>
    </r>
  </si>
  <si>
    <t>-0712</t>
  </si>
  <si>
    <t>0112</t>
  </si>
  <si>
    <t>0912</t>
  </si>
  <si>
    <t>1015</t>
  </si>
  <si>
    <t>1107</t>
  </si>
  <si>
    <t>2211</t>
  </si>
  <si>
    <t>2510</t>
  </si>
  <si>
    <t>2216</t>
  </si>
  <si>
    <t>3307</t>
  </si>
  <si>
    <t>3510</t>
  </si>
  <si>
    <t>G5659/G5659</t>
  </si>
  <si>
    <t>3619</t>
  </si>
  <si>
    <r>
      <rPr>
        <b/>
        <sz val="10"/>
        <rFont val="Arial"/>
        <family val="2"/>
      </rPr>
      <t>PURPLE SHOULDER</t>
    </r>
    <r>
      <rPr>
        <sz val="10"/>
        <rFont val="Arial"/>
        <family val="2"/>
      </rPr>
      <t xml:space="preserve"> Purple right shoulder (x1), left shoulder (x1 small)</t>
    </r>
  </si>
  <si>
    <t>Juvenile</t>
  </si>
  <si>
    <t>-0716</t>
  </si>
  <si>
    <t>0115</t>
  </si>
  <si>
    <t>0412</t>
  </si>
  <si>
    <t>0612</t>
  </si>
  <si>
    <t>0710</t>
  </si>
  <si>
    <t>Scar below left eye</t>
  </si>
  <si>
    <t>0818</t>
  </si>
  <si>
    <t>0916</t>
  </si>
  <si>
    <t>0704</t>
  </si>
  <si>
    <t>2 paralel scars on right flank</t>
  </si>
  <si>
    <t>Yellow centre rump and back of head</t>
  </si>
  <si>
    <t>1710</t>
  </si>
  <si>
    <t>1614</t>
  </si>
  <si>
    <t>2212</t>
  </si>
  <si>
    <t>3008</t>
  </si>
  <si>
    <r>
      <rPr>
        <b/>
        <sz val="10"/>
        <rFont val="Arial"/>
        <family val="2"/>
      </rPr>
      <t>TIC TAC</t>
    </r>
    <r>
      <rPr>
        <sz val="10"/>
        <rFont val="Arial"/>
        <family val="2"/>
      </rPr>
      <t xml:space="preserve"> Orange (x1) right flank, lime green left flank (x1)</t>
    </r>
  </si>
  <si>
    <t>Light blue lower right rump (x1), left flank (x1), and yellow left shoulder (x1)</t>
  </si>
  <si>
    <r>
      <rPr>
        <b/>
        <sz val="10"/>
        <rFont val="Arial"/>
        <family val="2"/>
      </rPr>
      <t>BARNEY</t>
    </r>
    <r>
      <rPr>
        <sz val="10"/>
        <rFont val="Arial"/>
        <family val="2"/>
      </rPr>
      <t xml:space="preserve"> Yellow (x1) right back, purple/d blue (x1) left flank</t>
    </r>
  </si>
  <si>
    <t>-0715</t>
  </si>
  <si>
    <t>-0116</t>
  </si>
  <si>
    <t>0210</t>
  </si>
  <si>
    <r>
      <rPr>
        <b/>
        <sz val="10"/>
        <rFont val="Arial"/>
        <family val="2"/>
      </rPr>
      <t>SWEDEN</t>
    </r>
    <r>
      <rPr>
        <sz val="10"/>
        <rFont val="Arial"/>
        <family val="2"/>
      </rPr>
      <t xml:space="preserve"> D blue (x1) and yellow (x1) left rump, and yellow (x1) right rump</t>
    </r>
  </si>
  <si>
    <t>1016</t>
  </si>
  <si>
    <t>1106</t>
  </si>
  <si>
    <t>2609</t>
  </si>
  <si>
    <r>
      <rPr>
        <b/>
        <sz val="10"/>
        <rFont val="Arial"/>
        <family val="2"/>
      </rPr>
      <t>BLUE BEARD</t>
    </r>
    <r>
      <rPr>
        <sz val="10"/>
        <rFont val="Arial"/>
        <family val="2"/>
      </rPr>
      <t xml:space="preserve"> Light blue dots(x2) and streak (x1)on left chest</t>
    </r>
  </si>
  <si>
    <r>
      <rPr>
        <b/>
        <sz val="10"/>
        <rFont val="Arial"/>
        <family val="2"/>
      </rPr>
      <t>SLURPY</t>
    </r>
    <r>
      <rPr>
        <sz val="10"/>
        <rFont val="Arial"/>
        <family val="2"/>
      </rPr>
      <t xml:space="preserve"> Purple (x1) and light blue(x1) on right flank, light blue (x1) forehead</t>
    </r>
  </si>
  <si>
    <t>0709</t>
  </si>
  <si>
    <t>1007</t>
  </si>
  <si>
    <t>1410</t>
  </si>
  <si>
    <t>2411</t>
  </si>
  <si>
    <t>2414</t>
  </si>
  <si>
    <t>Red nose</t>
  </si>
  <si>
    <t>-0404</t>
  </si>
  <si>
    <t>0806</t>
  </si>
  <si>
    <t>0303</t>
  </si>
  <si>
    <t>1414</t>
  </si>
  <si>
    <t>1815</t>
  </si>
  <si>
    <t>2413</t>
  </si>
  <si>
    <t>2808</t>
  </si>
  <si>
    <t>2909</t>
  </si>
  <si>
    <r>
      <rPr>
        <b/>
        <sz val="10"/>
        <rFont val="Arial"/>
        <family val="2"/>
      </rPr>
      <t>CUSTARD</t>
    </r>
    <r>
      <rPr>
        <sz val="10"/>
        <rFont val="Arial"/>
        <family val="2"/>
      </rPr>
      <t xml:space="preserve"> Yellow above left flip (x1) and left flank (x1), and pale green right chest (x1)</t>
    </r>
  </si>
  <si>
    <t>Small notch missing from right flip</t>
  </si>
  <si>
    <t>-0208</t>
  </si>
  <si>
    <t>0504</t>
  </si>
  <si>
    <t>0811</t>
  </si>
  <si>
    <t>1316</t>
  </si>
  <si>
    <r>
      <rPr>
        <b/>
        <sz val="10"/>
        <rFont val="Arial"/>
        <family val="2"/>
      </rPr>
      <t>COLGATE</t>
    </r>
    <r>
      <rPr>
        <sz val="10"/>
        <rFont val="Arial"/>
        <family val="2"/>
      </rPr>
      <t xml:space="preserve"> Dark blue centre rump (x1), light blue right rump (x1)</t>
    </r>
  </si>
  <si>
    <t>2308</t>
  </si>
  <si>
    <t>2513</t>
  </si>
  <si>
    <t>2717</t>
  </si>
  <si>
    <t>3209</t>
  </si>
  <si>
    <t>-0713</t>
  </si>
  <si>
    <r>
      <rPr>
        <b/>
        <sz val="10"/>
        <rFont val="Arial"/>
        <family val="2"/>
      </rPr>
      <t>WHISKEY ON THE ROCKS</t>
    </r>
    <r>
      <rPr>
        <sz val="10"/>
        <rFont val="Arial"/>
        <family val="2"/>
      </rPr>
      <t xml:space="preserve"> Orange left shoulder (x1), pale blue left flank (x1) and righ shoulder (x1)</t>
    </r>
  </si>
  <si>
    <t>0313</t>
  </si>
  <si>
    <t>03-01</t>
  </si>
  <si>
    <t>0712</t>
  </si>
  <si>
    <t>0809</t>
  </si>
  <si>
    <t>1112</t>
  </si>
  <si>
    <t>1312</t>
  </si>
  <si>
    <t>2718</t>
  </si>
  <si>
    <r>
      <rPr>
        <b/>
        <sz val="10"/>
        <rFont val="Arial"/>
        <family val="2"/>
      </rPr>
      <t>BLUESHANKS 2</t>
    </r>
    <r>
      <rPr>
        <sz val="10"/>
        <rFont val="Arial"/>
        <family val="2"/>
      </rPr>
      <t xml:space="preserve"> d Blue/ Lime green mix left and right chest. D. Blue left shoulder (x1), left chest (x1), left flank (x1) and right flank (x1)</t>
    </r>
  </si>
  <si>
    <t>-0612</t>
  </si>
  <si>
    <t>1111</t>
  </si>
  <si>
    <t>1411</t>
  </si>
  <si>
    <t>1711</t>
  </si>
  <si>
    <t>2118</t>
  </si>
  <si>
    <t>2608</t>
  </si>
  <si>
    <t>2614</t>
  </si>
  <si>
    <r>
      <rPr>
        <b/>
        <sz val="10"/>
        <rFont val="Arial"/>
        <family val="2"/>
      </rPr>
      <t>BLUE MANE</t>
    </r>
    <r>
      <rPr>
        <sz val="10"/>
        <rFont val="Arial"/>
        <family val="2"/>
      </rPr>
      <t xml:space="preserve"> Pale blue back of neck (x1), lime green left back (x1)</t>
    </r>
  </si>
  <si>
    <t>0718</t>
  </si>
  <si>
    <t>1209</t>
  </si>
  <si>
    <t>1311</t>
  </si>
  <si>
    <t>1315</t>
  </si>
  <si>
    <t>2009</t>
  </si>
  <si>
    <t>2317</t>
  </si>
  <si>
    <t>2617</t>
  </si>
  <si>
    <t>-0115</t>
  </si>
  <si>
    <t>1208</t>
  </si>
  <si>
    <t>1314</t>
  </si>
  <si>
    <t>Cut on nose</t>
  </si>
  <si>
    <t>2612</t>
  </si>
  <si>
    <t>2618</t>
  </si>
  <si>
    <t>3313</t>
  </si>
  <si>
    <t>0020</t>
  </si>
  <si>
    <t>-0405</t>
  </si>
  <si>
    <t>Sub-adult, fresh bite on bum</t>
  </si>
  <si>
    <t>-0122</t>
  </si>
  <si>
    <t>0505</t>
  </si>
  <si>
    <t>1307</t>
  </si>
  <si>
    <t>1017</t>
  </si>
  <si>
    <t>1808</t>
  </si>
  <si>
    <t>2205</t>
  </si>
  <si>
    <t>2108</t>
  </si>
  <si>
    <t>2309</t>
  </si>
  <si>
    <t>2412</t>
  </si>
  <si>
    <t>2812</t>
  </si>
  <si>
    <t>2807</t>
  </si>
  <si>
    <t>3521</t>
  </si>
  <si>
    <r>
      <rPr>
        <b/>
        <sz val="10"/>
        <rFont val="Arial"/>
        <family val="2"/>
      </rPr>
      <t>VIKING</t>
    </r>
    <r>
      <rPr>
        <sz val="10"/>
        <rFont val="Arial"/>
        <family val="2"/>
      </rPr>
      <t xml:space="preserve"> Yellow left chest (x1), purple left flank (x1)</t>
    </r>
  </si>
  <si>
    <r>
      <rPr>
        <b/>
        <sz val="10"/>
        <rFont val="Arial"/>
        <family val="2"/>
      </rPr>
      <t>MELONS</t>
    </r>
    <r>
      <rPr>
        <sz val="10"/>
        <rFont val="Arial"/>
        <family val="2"/>
      </rPr>
      <t xml:space="preserve"> Orange (x3) chest in upside down triangle, blue/green mix (x1) on back</t>
    </r>
  </si>
  <si>
    <t>-0508</t>
  </si>
  <si>
    <t>-0215</t>
  </si>
  <si>
    <t>0503</t>
  </si>
  <si>
    <t>0708</t>
  </si>
  <si>
    <t>1011</t>
  </si>
  <si>
    <t>1104</t>
  </si>
  <si>
    <t>1708</t>
  </si>
  <si>
    <t>2209</t>
  </si>
  <si>
    <t>2613</t>
  </si>
  <si>
    <t>-0403</t>
  </si>
  <si>
    <t>0304</t>
  </si>
  <si>
    <t>0915</t>
  </si>
  <si>
    <t>2207</t>
  </si>
  <si>
    <t>2115</t>
  </si>
  <si>
    <t>3206</t>
  </si>
  <si>
    <t>-0610</t>
  </si>
  <si>
    <t>-0415</t>
  </si>
  <si>
    <t>0618</t>
  </si>
  <si>
    <t>2206</t>
  </si>
  <si>
    <t>2512</t>
  </si>
  <si>
    <t>2816</t>
  </si>
  <si>
    <t>2912</t>
  </si>
  <si>
    <t>3315</t>
  </si>
  <si>
    <t>3621</t>
  </si>
  <si>
    <t>Y</t>
  </si>
  <si>
    <t>AGM14001</t>
  </si>
  <si>
    <t>AGM14002</t>
  </si>
  <si>
    <t>AGM14003</t>
  </si>
  <si>
    <t>AGM14004</t>
  </si>
  <si>
    <t>AGM14006</t>
  </si>
  <si>
    <t>AGM14013</t>
  </si>
  <si>
    <t>AGM14015</t>
  </si>
  <si>
    <t>-0409</t>
  </si>
  <si>
    <t>-0614</t>
  </si>
  <si>
    <t>1814</t>
  </si>
  <si>
    <t>2316</t>
  </si>
  <si>
    <t>2811</t>
  </si>
  <si>
    <t>Scar on left flip</t>
  </si>
  <si>
    <r>
      <rPr>
        <b/>
        <sz val="10"/>
        <rFont val="Arial"/>
        <family val="2"/>
      </rPr>
      <t>GINGER</t>
    </r>
    <r>
      <rPr>
        <sz val="10"/>
        <rFont val="Arial"/>
        <family val="2"/>
      </rPr>
      <t xml:space="preserve"> Orange/light blue mix centre chest (x1), blue right shoulder (x1)</t>
    </r>
  </si>
  <si>
    <t>AGM14007</t>
  </si>
  <si>
    <t>AGM14008</t>
  </si>
  <si>
    <t>AGM14009</t>
  </si>
  <si>
    <t>AGM14010 + AGM14014</t>
  </si>
  <si>
    <t>AGM14011</t>
  </si>
  <si>
    <t>AGM14012</t>
  </si>
  <si>
    <t>0609</t>
  </si>
  <si>
    <t>1914</t>
  </si>
  <si>
    <t>2210</t>
  </si>
  <si>
    <t>2307</t>
  </si>
  <si>
    <t>2710</t>
  </si>
  <si>
    <r>
      <rPr>
        <b/>
        <sz val="10"/>
        <rFont val="Arial"/>
        <family val="2"/>
      </rPr>
      <t>BLUEY</t>
    </r>
    <r>
      <rPr>
        <sz val="10"/>
        <rFont val="Arial"/>
        <family val="2"/>
      </rPr>
      <t xml:space="preserve"> Light blue (x1) rump, dark blue (x1) centre back</t>
    </r>
  </si>
  <si>
    <t>AGM14016</t>
  </si>
  <si>
    <t>AGM14017</t>
  </si>
  <si>
    <t>AGM14018</t>
  </si>
  <si>
    <t>AGM14019</t>
  </si>
  <si>
    <t>AGM14020</t>
  </si>
  <si>
    <t>AGM14021</t>
  </si>
  <si>
    <t>AGM14022</t>
  </si>
  <si>
    <t>AGM14023</t>
  </si>
  <si>
    <t>AGM14024</t>
  </si>
  <si>
    <t>AGM14025</t>
  </si>
  <si>
    <t>02-01</t>
  </si>
  <si>
    <t>0217</t>
  </si>
  <si>
    <t>0814</t>
  </si>
  <si>
    <t>1317</t>
  </si>
  <si>
    <t>1512</t>
  </si>
  <si>
    <t>1516</t>
  </si>
  <si>
    <t>1809</t>
  </si>
  <si>
    <t>2813</t>
  </si>
  <si>
    <t>2817</t>
  </si>
  <si>
    <t>Notch missing from right flip, scar on left flip</t>
  </si>
  <si>
    <t>Orange and green/yellow rump</t>
  </si>
  <si>
    <r>
      <rPr>
        <b/>
        <sz val="10"/>
        <rFont val="Arial"/>
        <family val="2"/>
      </rPr>
      <t>MURRAY</t>
    </r>
    <r>
      <rPr>
        <sz val="10"/>
        <rFont val="Arial"/>
        <family val="2"/>
      </rPr>
      <t xml:space="preserve"> Pale green (x1) and purple (x1) left flank</t>
    </r>
  </si>
  <si>
    <t>AGM14026</t>
  </si>
  <si>
    <t>AGM14027</t>
  </si>
  <si>
    <t>AGM14028</t>
  </si>
  <si>
    <t>AGM14029</t>
  </si>
  <si>
    <t>AGM14030</t>
  </si>
  <si>
    <t>AGM14031</t>
  </si>
  <si>
    <t>AGM14032</t>
  </si>
  <si>
    <t>AGM14033</t>
  </si>
  <si>
    <t xml:space="preserve">AGM14005+AGM14034 </t>
  </si>
  <si>
    <t>AGM14035</t>
  </si>
  <si>
    <t>AGM14036</t>
  </si>
  <si>
    <t>-0308</t>
  </si>
  <si>
    <t>0216</t>
  </si>
  <si>
    <t>0805</t>
  </si>
  <si>
    <t>1013</t>
  </si>
  <si>
    <t>1217</t>
  </si>
  <si>
    <t>1706</t>
  </si>
  <si>
    <t>1810</t>
  </si>
  <si>
    <t>1910</t>
  </si>
  <si>
    <t>2514</t>
  </si>
  <si>
    <t>2709</t>
  </si>
  <si>
    <t>2716</t>
  </si>
  <si>
    <t>AGM14037</t>
  </si>
  <si>
    <t>AGM14038</t>
  </si>
  <si>
    <t>AGM14039</t>
  </si>
  <si>
    <r>
      <rPr>
        <b/>
        <sz val="10"/>
        <rFont val="Arial"/>
        <family val="2"/>
      </rPr>
      <t>BART</t>
    </r>
    <r>
      <rPr>
        <sz val="10"/>
        <rFont val="Arial"/>
        <family val="2"/>
      </rPr>
      <t xml:space="preserve"> Orange centre rump (x2), pale blue right rump (x1)</t>
    </r>
  </si>
  <si>
    <t>0603</t>
  </si>
  <si>
    <t>0909</t>
  </si>
  <si>
    <t>1211</t>
  </si>
  <si>
    <t>1508</t>
  </si>
  <si>
    <r>
      <rPr>
        <b/>
        <sz val="10"/>
        <rFont val="Arial"/>
        <family val="2"/>
      </rPr>
      <t>BUMBLEBEE</t>
    </r>
    <r>
      <rPr>
        <sz val="10"/>
        <rFont val="Arial"/>
        <family val="2"/>
      </rPr>
      <t xml:space="preserve"> Yellow streak right flank (x1), chest (x1), back of neck (x1)</t>
    </r>
  </si>
  <si>
    <t>1509</t>
  </si>
  <si>
    <t>1714</t>
  </si>
  <si>
    <r>
      <rPr>
        <b/>
        <sz val="10"/>
        <rFont val="Arial"/>
        <family val="2"/>
      </rPr>
      <t>YELLOW SHOULDER</t>
    </r>
    <r>
      <rPr>
        <sz val="10"/>
        <rFont val="Arial"/>
        <family val="2"/>
      </rPr>
      <t xml:space="preserve"> Yellow left chest (x1), ligh blue left rump (x1)</t>
    </r>
  </si>
  <si>
    <t>2916</t>
  </si>
  <si>
    <t>3504</t>
  </si>
  <si>
    <r>
      <t xml:space="preserve">AL </t>
    </r>
    <r>
      <rPr>
        <sz val="10"/>
        <rFont val="Arial"/>
        <family val="2"/>
      </rPr>
      <t>Purple left flank (x1), yellow right flank (x1)</t>
    </r>
  </si>
  <si>
    <r>
      <rPr>
        <b/>
        <sz val="10"/>
        <rFont val="Arial"/>
        <family val="2"/>
      </rPr>
      <t>FEDERER</t>
    </r>
    <r>
      <rPr>
        <sz val="10"/>
        <rFont val="Arial"/>
        <family val="2"/>
      </rPr>
      <t xml:space="preserve"> Purple centre chest (x1), pale green rump (x1)</t>
    </r>
  </si>
  <si>
    <r>
      <rPr>
        <b/>
        <sz val="10"/>
        <rFont val="Arial"/>
        <family val="2"/>
      </rPr>
      <t>GREEN BEARD</t>
    </r>
    <r>
      <rPr>
        <sz val="10"/>
        <rFont val="Arial"/>
        <family val="2"/>
      </rPr>
      <t xml:space="preserve"> Pale green beard (x1) and yellow (x1) right chest, pale green mane (x1)</t>
    </r>
  </si>
  <si>
    <t>0717</t>
  </si>
  <si>
    <t>-0307</t>
  </si>
  <si>
    <t>0211</t>
  </si>
  <si>
    <t>1117</t>
  </si>
  <si>
    <t>2012</t>
  </si>
  <si>
    <t>1716</t>
  </si>
  <si>
    <t>2018</t>
  </si>
  <si>
    <t>2517</t>
  </si>
  <si>
    <t>3012</t>
  </si>
  <si>
    <t>3115</t>
  </si>
  <si>
    <t>-0108</t>
  </si>
  <si>
    <t>0409</t>
  </si>
  <si>
    <t>0707</t>
  </si>
  <si>
    <t>0519</t>
  </si>
  <si>
    <t>1608</t>
  </si>
  <si>
    <t>1917</t>
  </si>
  <si>
    <t>AGM14040</t>
  </si>
  <si>
    <r>
      <rPr>
        <b/>
        <sz val="10"/>
        <color rgb="FFFF6600"/>
        <rFont val="Arial"/>
        <family val="2"/>
      </rPr>
      <t>O2233</t>
    </r>
    <r>
      <rPr>
        <sz val="10"/>
        <rFont val="Arial"/>
        <family val="2"/>
      </rPr>
      <t>/</t>
    </r>
    <r>
      <rPr>
        <b/>
        <sz val="10"/>
        <color rgb="FFFF6600"/>
        <rFont val="Arial"/>
        <family val="2"/>
      </rPr>
      <t>33</t>
    </r>
    <r>
      <rPr>
        <sz val="10"/>
        <rFont val="Arial"/>
        <family val="2"/>
      </rPr>
      <t xml:space="preserve"> PIT TAG: 04121E7D35</t>
    </r>
  </si>
  <si>
    <r>
      <rPr>
        <b/>
        <sz val="10"/>
        <color rgb="FFFF6600"/>
        <rFont val="Arial"/>
        <family val="2"/>
      </rPr>
      <t>O2294</t>
    </r>
    <r>
      <rPr>
        <sz val="10"/>
        <rFont val="Arial"/>
        <family val="2"/>
      </rPr>
      <t>/</t>
    </r>
    <r>
      <rPr>
        <b/>
        <sz val="10"/>
        <color rgb="FFFF6600"/>
        <rFont val="Arial"/>
        <family val="2"/>
      </rPr>
      <t>94</t>
    </r>
    <r>
      <rPr>
        <sz val="10"/>
        <rFont val="Arial"/>
        <family val="2"/>
      </rPr>
      <t xml:space="preserve"> PIT Tag: 04121E62AA; notch missing from left flipper</t>
    </r>
  </si>
  <si>
    <r>
      <rPr>
        <b/>
        <sz val="10"/>
        <rFont val="Arial"/>
        <family val="2"/>
      </rPr>
      <t>W7992</t>
    </r>
    <r>
      <rPr>
        <sz val="10"/>
        <rFont val="Arial"/>
        <family val="2"/>
      </rPr>
      <t>/</t>
    </r>
    <r>
      <rPr>
        <b/>
        <sz val="10"/>
        <rFont val="Arial"/>
        <family val="2"/>
      </rPr>
      <t>92</t>
    </r>
    <r>
      <rPr>
        <sz val="10"/>
        <rFont val="Arial"/>
        <family val="2"/>
      </rPr>
      <t xml:space="preserve"> PIT Tag: 04159E27C1</t>
    </r>
  </si>
  <si>
    <t>0016</t>
  </si>
  <si>
    <t>-0615</t>
  </si>
  <si>
    <r>
      <rPr>
        <b/>
        <sz val="10"/>
        <rFont val="Arial"/>
        <family val="2"/>
      </rPr>
      <t>MAJOR</t>
    </r>
    <r>
      <rPr>
        <sz val="10"/>
        <rFont val="Arial"/>
        <family val="2"/>
      </rPr>
      <t xml:space="preserve"> Pale green (x1) right shoulder, blue (x1) right flank</t>
    </r>
  </si>
  <si>
    <t>1214</t>
  </si>
  <si>
    <t>1310</t>
  </si>
  <si>
    <t>1507</t>
  </si>
  <si>
    <t>1519</t>
  </si>
  <si>
    <t>2114</t>
  </si>
  <si>
    <t>2911</t>
  </si>
  <si>
    <r>
      <rPr>
        <b/>
        <sz val="10"/>
        <rFont val="Arial"/>
        <family val="2"/>
      </rPr>
      <t>PURPLE BUM</t>
    </r>
    <r>
      <rPr>
        <sz val="10"/>
        <rFont val="Arial"/>
        <family val="2"/>
      </rPr>
      <t xml:space="preserve"> Blue/purple mix (x1) centre rump</t>
    </r>
  </si>
  <si>
    <t>Purple (x1) and blue (x1) left flank</t>
  </si>
  <si>
    <t>0106</t>
  </si>
  <si>
    <t>0908</t>
  </si>
  <si>
    <t>1520</t>
  </si>
  <si>
    <t>1811</t>
  </si>
  <si>
    <r>
      <rPr>
        <b/>
        <sz val="10"/>
        <rFont val="Arial"/>
        <family val="2"/>
      </rPr>
      <t>FLOUNDER</t>
    </r>
    <r>
      <rPr>
        <sz val="10"/>
        <rFont val="Arial"/>
        <family val="2"/>
      </rPr>
      <t xml:space="preserve"> Yellow left rump (x1), light blue centre rump (x1)</t>
    </r>
  </si>
  <si>
    <r>
      <rPr>
        <b/>
        <sz val="10"/>
        <rFont val="Arial"/>
        <family val="2"/>
      </rPr>
      <t>NANCY</t>
    </r>
    <r>
      <rPr>
        <sz val="10"/>
        <rFont val="Arial"/>
        <family val="2"/>
      </rPr>
      <t xml:space="preserve"> Pale blue (x1) and lime green rump (x1)</t>
    </r>
  </si>
  <si>
    <t>3215</t>
  </si>
  <si>
    <t>3309</t>
  </si>
  <si>
    <t>0914</t>
  </si>
  <si>
    <t>1511</t>
  </si>
  <si>
    <t>1607</t>
  </si>
  <si>
    <t>2113</t>
  </si>
  <si>
    <t>2208</t>
  </si>
  <si>
    <t>2814</t>
  </si>
  <si>
    <t>3207</t>
  </si>
  <si>
    <t>1419</t>
  </si>
  <si>
    <r>
      <rPr>
        <b/>
        <sz val="10"/>
        <rFont val="Arial"/>
        <family val="2"/>
      </rPr>
      <t>BRAD</t>
    </r>
    <r>
      <rPr>
        <sz val="10"/>
        <rFont val="Arial"/>
        <family val="2"/>
      </rPr>
      <t xml:space="preserve"> Orange back of head (x1) and centre back (x1). Orange (x1) right chest, pale green (x1) left chest, orange (x1) right shoulder</t>
    </r>
  </si>
  <si>
    <r>
      <rPr>
        <b/>
        <sz val="10"/>
        <rFont val="Arial"/>
        <family val="2"/>
      </rPr>
      <t>THE GREEN MACHINE</t>
    </r>
    <r>
      <rPr>
        <sz val="10"/>
        <rFont val="Arial"/>
        <family val="2"/>
      </rPr>
      <t xml:space="preserve"> Lime green centre back (x1), pale green left flank (x1)</t>
    </r>
  </si>
  <si>
    <t>AGM14041</t>
  </si>
  <si>
    <t>1204</t>
  </si>
  <si>
    <t>1513</t>
  </si>
  <si>
    <t>2117</t>
  </si>
  <si>
    <r>
      <rPr>
        <b/>
        <sz val="10"/>
        <rFont val="Arial"/>
        <family val="2"/>
      </rPr>
      <t>PURPLE RAIN</t>
    </r>
    <r>
      <rPr>
        <sz val="10"/>
        <rFont val="Arial"/>
        <family val="2"/>
      </rPr>
      <t xml:space="preserve"> Purple streak upper back (x1), blue right shoulder (x1)</t>
    </r>
  </si>
  <si>
    <t>0318</t>
  </si>
  <si>
    <t>0410</t>
  </si>
  <si>
    <t>0608</t>
  </si>
  <si>
    <t>0511</t>
  </si>
  <si>
    <t>1108</t>
  </si>
  <si>
    <t>1613</t>
  </si>
  <si>
    <t>2415</t>
  </si>
  <si>
    <t>AGM14043</t>
  </si>
  <si>
    <t>AGM14044</t>
  </si>
  <si>
    <t>-0305</t>
  </si>
  <si>
    <t>0017</t>
  </si>
  <si>
    <t>0910</t>
  </si>
  <si>
    <r>
      <rPr>
        <b/>
        <sz val="10"/>
        <rFont val="Arial"/>
        <family val="2"/>
      </rPr>
      <t>BLUEFLANKS</t>
    </r>
    <r>
      <rPr>
        <sz val="10"/>
        <rFont val="Arial"/>
        <family val="2"/>
      </rPr>
      <t xml:space="preserve"> Blue/purple mix left (x1) and right (x1) flank</t>
    </r>
  </si>
  <si>
    <t>1413</t>
  </si>
  <si>
    <t>1919</t>
  </si>
  <si>
    <t>2213</t>
  </si>
  <si>
    <t>2508</t>
  </si>
  <si>
    <t>2715</t>
  </si>
  <si>
    <t>1215</t>
  </si>
  <si>
    <t>1412</t>
  </si>
  <si>
    <t>2013</t>
  </si>
  <si>
    <t>1918</t>
  </si>
  <si>
    <t>2116</t>
  </si>
  <si>
    <t>2417</t>
  </si>
  <si>
    <t>1216</t>
  </si>
  <si>
    <t>1203</t>
  </si>
  <si>
    <t>1916</t>
  </si>
  <si>
    <t xml:space="preserve">Blue rump </t>
  </si>
  <si>
    <t>2120</t>
  </si>
  <si>
    <t>2416</t>
  </si>
  <si>
    <t>AGM14045</t>
  </si>
  <si>
    <t>AGM14046</t>
  </si>
  <si>
    <r>
      <rPr>
        <b/>
        <sz val="10"/>
        <rFont val="Arial"/>
        <family val="2"/>
      </rPr>
      <t>PIZZA BREATH</t>
    </r>
    <r>
      <rPr>
        <sz val="10"/>
        <rFont val="Arial"/>
        <family val="2"/>
      </rPr>
      <t xml:space="preserve"> Pale blue rump (x1), orange right flank (x1). Blue (x2) and orange (x1) chest, and orange (x1) chest</t>
    </r>
  </si>
  <si>
    <r>
      <rPr>
        <b/>
        <sz val="10"/>
        <rFont val="Arial"/>
        <family val="2"/>
      </rPr>
      <t>JOANNE</t>
    </r>
    <r>
      <rPr>
        <sz val="10"/>
        <rFont val="Arial"/>
        <family val="2"/>
      </rPr>
      <t xml:space="preserve"> Orange streak (x1) and purple streak (x1) down back of mane</t>
    </r>
  </si>
  <si>
    <r>
      <rPr>
        <b/>
        <sz val="10"/>
        <rFont val="Arial"/>
        <family val="2"/>
      </rPr>
      <t xml:space="preserve">ROBBIE </t>
    </r>
    <r>
      <rPr>
        <sz val="10"/>
        <rFont val="Arial"/>
        <family val="2"/>
      </rPr>
      <t>purple back (x1) yellow mane (x1)</t>
    </r>
  </si>
  <si>
    <t>AGM14047</t>
  </si>
  <si>
    <t>AGM14042 + AGM14048</t>
  </si>
  <si>
    <t>0408</t>
  </si>
  <si>
    <t>0905</t>
  </si>
  <si>
    <t>1712</t>
  </si>
  <si>
    <t>0308</t>
  </si>
  <si>
    <t>0617</t>
  </si>
  <si>
    <t>2313</t>
  </si>
  <si>
    <t>3007</t>
  </si>
  <si>
    <t>1924</t>
  </si>
  <si>
    <t>-0424</t>
  </si>
  <si>
    <t>-0209</t>
  </si>
  <si>
    <t>0816</t>
  </si>
  <si>
    <r>
      <rPr>
        <b/>
        <sz val="10"/>
        <rFont val="Arial"/>
        <family val="2"/>
      </rPr>
      <t>BLUE SHOULDER</t>
    </r>
    <r>
      <rPr>
        <sz val="10"/>
        <rFont val="Arial"/>
        <family val="2"/>
      </rPr>
      <t xml:space="preserve"> Blue left shoulder</t>
    </r>
  </si>
  <si>
    <t>1923</t>
  </si>
  <si>
    <t>3308</t>
  </si>
  <si>
    <t>-0518</t>
  </si>
  <si>
    <t>0218</t>
  </si>
  <si>
    <t>1406</t>
  </si>
  <si>
    <t>2112</t>
  </si>
  <si>
    <t>3408</t>
  </si>
  <si>
    <t>PIT TAG: 0413021D4C</t>
  </si>
  <si>
    <t>AGM14049</t>
  </si>
  <si>
    <t>AGM14050</t>
  </si>
  <si>
    <r>
      <rPr>
        <b/>
        <sz val="10"/>
        <rFont val="Arial"/>
        <family val="2"/>
      </rPr>
      <t>TERRY</t>
    </r>
    <r>
      <rPr>
        <sz val="10"/>
        <rFont val="Arial"/>
        <family val="2"/>
      </rPr>
      <t xml:space="preserve"> orange mouth, orange left shoulder, purple back</t>
    </r>
  </si>
  <si>
    <r>
      <rPr>
        <b/>
        <sz val="10"/>
        <rFont val="Arial"/>
        <family val="2"/>
      </rPr>
      <t>SEASHELL</t>
    </r>
    <r>
      <rPr>
        <sz val="10"/>
        <rFont val="Arial"/>
        <family val="2"/>
      </rPr>
      <t xml:space="preserve"> purple right chest, light blue right shoulder</t>
    </r>
  </si>
  <si>
    <r>
      <rPr>
        <b/>
        <sz val="10"/>
        <rFont val="Arial"/>
        <family val="2"/>
      </rPr>
      <t>CARROT</t>
    </r>
    <r>
      <rPr>
        <sz val="10"/>
        <rFont val="Arial"/>
        <family val="2"/>
      </rPr>
      <t xml:space="preserve"> orange centre chest</t>
    </r>
  </si>
  <si>
    <r>
      <rPr>
        <b/>
        <sz val="10"/>
        <rFont val="Arial"/>
        <family val="2"/>
      </rPr>
      <t>LIMEY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2ND</t>
    </r>
    <r>
      <rPr>
        <sz val="10"/>
        <rFont val="Arial"/>
        <family val="2"/>
      </rPr>
      <t xml:space="preserve"> lime green chest, lime green back</t>
    </r>
  </si>
  <si>
    <t>0215</t>
  </si>
  <si>
    <t>-0814</t>
  </si>
  <si>
    <t>-0121</t>
  </si>
  <si>
    <t xml:space="preserve">UNPAINTED SUBADULT </t>
  </si>
  <si>
    <r>
      <rPr>
        <b/>
        <sz val="10"/>
        <rFont val="Arial"/>
        <family val="2"/>
      </rPr>
      <t xml:space="preserve">BLORANGE </t>
    </r>
    <r>
      <rPr>
        <sz val="10"/>
        <rFont val="Arial"/>
        <family val="2"/>
      </rPr>
      <t>blue and orange mixture bum</t>
    </r>
  </si>
  <si>
    <t>1220</t>
  </si>
  <si>
    <t>1907</t>
  </si>
  <si>
    <t>3011</t>
  </si>
  <si>
    <t>3216</t>
  </si>
  <si>
    <t>AGM14052</t>
  </si>
  <si>
    <t>AGM14051</t>
  </si>
  <si>
    <t>-0515</t>
  </si>
  <si>
    <t>-0217</t>
  </si>
  <si>
    <t>2310</t>
  </si>
  <si>
    <t>2507</t>
  </si>
  <si>
    <t>NO PAINT</t>
  </si>
  <si>
    <t>AGM14053</t>
  </si>
  <si>
    <r>
      <rPr>
        <b/>
        <sz val="10"/>
        <rFont val="Arial"/>
        <family val="2"/>
      </rPr>
      <t>SEAWEED</t>
    </r>
    <r>
      <rPr>
        <sz val="10"/>
        <rFont val="Arial"/>
        <family val="2"/>
      </rPr>
      <t xml:space="preserve"> blue green mix  left chest, chin and back</t>
    </r>
  </si>
  <si>
    <t>-0501</t>
  </si>
  <si>
    <t>-0407</t>
  </si>
  <si>
    <t>-0117</t>
  </si>
  <si>
    <t>-0114</t>
  </si>
  <si>
    <t>0605</t>
  </si>
  <si>
    <t>2506</t>
  </si>
  <si>
    <t>AGM14054</t>
  </si>
  <si>
    <r>
      <rPr>
        <b/>
        <sz val="10"/>
        <rFont val="Arial"/>
        <family val="2"/>
      </rPr>
      <t>THE TICK</t>
    </r>
    <r>
      <rPr>
        <sz val="10"/>
        <rFont val="Arial"/>
        <family val="2"/>
      </rPr>
      <t xml:space="preserve"> right blue flank, right blue rump. Plus old blue paint marks</t>
    </r>
  </si>
  <si>
    <r>
      <t>Y5307/Y5307</t>
    </r>
    <r>
      <rPr>
        <sz val="10"/>
        <rFont val="Arial"/>
        <family val="2"/>
      </rPr>
      <t xml:space="preserve"> PIT Tag: 0413022253</t>
    </r>
  </si>
  <si>
    <t>0117</t>
  </si>
  <si>
    <t>0509</t>
  </si>
  <si>
    <t>2714</t>
  </si>
  <si>
    <t>-0207</t>
  </si>
  <si>
    <t>1908</t>
  </si>
  <si>
    <t>2016</t>
  </si>
  <si>
    <t>2314</t>
  </si>
  <si>
    <r>
      <rPr>
        <b/>
        <sz val="10"/>
        <rFont val="Arial"/>
        <family val="2"/>
      </rPr>
      <t>HANG</t>
    </r>
    <r>
      <rPr>
        <sz val="10"/>
        <rFont val="Arial"/>
        <family val="2"/>
      </rPr>
      <t xml:space="preserve"> 2x yellow bum, lime green back</t>
    </r>
  </si>
  <si>
    <r>
      <rPr>
        <b/>
        <sz val="10"/>
        <rFont val="Arial"/>
        <family val="2"/>
      </rPr>
      <t>OVER</t>
    </r>
    <r>
      <rPr>
        <sz val="10"/>
        <rFont val="Arial"/>
        <family val="2"/>
      </rPr>
      <t xml:space="preserve"> yellow left shoulder, orange right chest</t>
    </r>
  </si>
  <si>
    <t>AGM14055</t>
  </si>
  <si>
    <t>AGM14056</t>
  </si>
  <si>
    <t>AGM14057</t>
  </si>
  <si>
    <t>1306</t>
  </si>
  <si>
    <t>2006</t>
  </si>
  <si>
    <t>2008</t>
  </si>
  <si>
    <t>AGM14058</t>
  </si>
  <si>
    <t>1606</t>
  </si>
  <si>
    <t>1713</t>
  </si>
  <si>
    <t>2318</t>
  </si>
  <si>
    <t>3016</t>
  </si>
  <si>
    <t>2815</t>
  </si>
  <si>
    <t>04130205CA</t>
  </si>
  <si>
    <t>0413021AC3</t>
  </si>
  <si>
    <t>AGM14059</t>
  </si>
  <si>
    <t>AGM14060</t>
  </si>
  <si>
    <r>
      <rPr>
        <b/>
        <sz val="10"/>
        <rFont val="Arial"/>
        <family val="2"/>
      </rPr>
      <t>SHARK</t>
    </r>
    <r>
      <rPr>
        <sz val="10"/>
        <rFont val="Arial"/>
        <family val="2"/>
      </rPr>
      <t xml:space="preserve"> Purple rump (x2), light blue left shoulder (x1)</t>
    </r>
  </si>
  <si>
    <r>
      <rPr>
        <b/>
        <sz val="10"/>
        <rFont val="Arial"/>
        <family val="2"/>
      </rPr>
      <t xml:space="preserve">LEMON </t>
    </r>
    <r>
      <rPr>
        <sz val="10"/>
        <rFont val="Arial"/>
        <family val="2"/>
      </rPr>
      <t>2 yellow spots rump, blue back</t>
    </r>
  </si>
  <si>
    <r>
      <rPr>
        <b/>
        <sz val="10"/>
        <rFont val="Arial"/>
        <family val="2"/>
      </rPr>
      <t xml:space="preserve">CITRUS </t>
    </r>
    <r>
      <rPr>
        <sz val="10"/>
        <rFont val="Arial"/>
        <family val="2"/>
      </rPr>
      <t>orange lower back, lime green right shoulder</t>
    </r>
  </si>
  <si>
    <t>1807</t>
  </si>
  <si>
    <t>2015</t>
  </si>
  <si>
    <t>2509</t>
  </si>
  <si>
    <t>2312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</si>
</sst>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6600"/>
      <name val="Arial"/>
      <family val="2"/>
    </font>
    <font>
      <b/>
      <sz val="10"/>
      <color rgb="FFFFFF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3" fillId="0" borderId="0" xfId="0" applyNumberFormat="1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0" fillId="0" borderId="2" xfId="0" applyBorder="1"/>
    <xf numFmtId="0" fontId="1" fillId="0" borderId="0" xfId="0" applyFont="1" applyFill="1"/>
    <xf numFmtId="49" fontId="0" fillId="0" borderId="0" xfId="0" applyNumberFormat="1" applyFill="1" applyAlignment="1">
      <alignment horizontal="center"/>
    </xf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49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 applyBorder="1"/>
    <xf numFmtId="49" fontId="1" fillId="0" borderId="0" xfId="0" applyNumberFormat="1" applyFont="1" applyBorder="1"/>
    <xf numFmtId="2" fontId="1" fillId="0" borderId="0" xfId="0" applyNumberFormat="1" applyFont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49" fontId="2" fillId="0" borderId="0" xfId="0" quotePrefix="1" applyNumberFormat="1" applyFont="1" applyFill="1"/>
    <xf numFmtId="0" fontId="7" fillId="2" borderId="0" xfId="0" applyFont="1" applyFill="1"/>
    <xf numFmtId="0" fontId="5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'2014-2015'!$G$2:$BO$2</c:f>
              <c:numCache>
                <c:formatCode>dd\-mmm\-yy</c:formatCode>
                <c:ptCount val="61"/>
                <c:pt idx="0">
                  <c:v>41944</c:v>
                </c:pt>
                <c:pt idx="1">
                  <c:v>41945</c:v>
                </c:pt>
                <c:pt idx="2">
                  <c:v>41946</c:v>
                </c:pt>
                <c:pt idx="3">
                  <c:v>41947</c:v>
                </c:pt>
                <c:pt idx="4">
                  <c:v>41948</c:v>
                </c:pt>
                <c:pt idx="5">
                  <c:v>41949</c:v>
                </c:pt>
                <c:pt idx="6">
                  <c:v>41950</c:v>
                </c:pt>
                <c:pt idx="7">
                  <c:v>41951</c:v>
                </c:pt>
                <c:pt idx="8">
                  <c:v>41952</c:v>
                </c:pt>
                <c:pt idx="9">
                  <c:v>41953</c:v>
                </c:pt>
                <c:pt idx="10">
                  <c:v>41954</c:v>
                </c:pt>
                <c:pt idx="11">
                  <c:v>41955</c:v>
                </c:pt>
                <c:pt idx="12">
                  <c:v>41956</c:v>
                </c:pt>
                <c:pt idx="13">
                  <c:v>41957</c:v>
                </c:pt>
                <c:pt idx="14">
                  <c:v>41958</c:v>
                </c:pt>
                <c:pt idx="15">
                  <c:v>41959</c:v>
                </c:pt>
                <c:pt idx="16">
                  <c:v>41960</c:v>
                </c:pt>
                <c:pt idx="17">
                  <c:v>41961</c:v>
                </c:pt>
                <c:pt idx="18">
                  <c:v>41962</c:v>
                </c:pt>
                <c:pt idx="19">
                  <c:v>41963</c:v>
                </c:pt>
                <c:pt idx="20">
                  <c:v>41964</c:v>
                </c:pt>
                <c:pt idx="21">
                  <c:v>41965</c:v>
                </c:pt>
                <c:pt idx="22">
                  <c:v>41966</c:v>
                </c:pt>
                <c:pt idx="23">
                  <c:v>41967</c:v>
                </c:pt>
                <c:pt idx="24">
                  <c:v>41968</c:v>
                </c:pt>
                <c:pt idx="25">
                  <c:v>41969</c:v>
                </c:pt>
                <c:pt idx="26">
                  <c:v>41970</c:v>
                </c:pt>
                <c:pt idx="27">
                  <c:v>41971</c:v>
                </c:pt>
                <c:pt idx="28">
                  <c:v>41972</c:v>
                </c:pt>
                <c:pt idx="29">
                  <c:v>41973</c:v>
                </c:pt>
                <c:pt idx="30">
                  <c:v>41974</c:v>
                </c:pt>
                <c:pt idx="31">
                  <c:v>41975</c:v>
                </c:pt>
                <c:pt idx="32">
                  <c:v>41976</c:v>
                </c:pt>
                <c:pt idx="33">
                  <c:v>41977</c:v>
                </c:pt>
                <c:pt idx="34">
                  <c:v>41978</c:v>
                </c:pt>
                <c:pt idx="35">
                  <c:v>41979</c:v>
                </c:pt>
                <c:pt idx="36">
                  <c:v>41980</c:v>
                </c:pt>
                <c:pt idx="37">
                  <c:v>41981</c:v>
                </c:pt>
                <c:pt idx="38">
                  <c:v>41982</c:v>
                </c:pt>
                <c:pt idx="39">
                  <c:v>41983</c:v>
                </c:pt>
                <c:pt idx="40">
                  <c:v>41984</c:v>
                </c:pt>
                <c:pt idx="41">
                  <c:v>41985</c:v>
                </c:pt>
                <c:pt idx="42">
                  <c:v>41986</c:v>
                </c:pt>
                <c:pt idx="43">
                  <c:v>41987</c:v>
                </c:pt>
                <c:pt idx="44">
                  <c:v>41988</c:v>
                </c:pt>
                <c:pt idx="45">
                  <c:v>41989</c:v>
                </c:pt>
                <c:pt idx="46">
                  <c:v>41990</c:v>
                </c:pt>
                <c:pt idx="47">
                  <c:v>41991</c:v>
                </c:pt>
                <c:pt idx="48">
                  <c:v>41992</c:v>
                </c:pt>
                <c:pt idx="49">
                  <c:v>41993</c:v>
                </c:pt>
                <c:pt idx="50">
                  <c:v>41994</c:v>
                </c:pt>
                <c:pt idx="51">
                  <c:v>41995</c:v>
                </c:pt>
                <c:pt idx="52">
                  <c:v>41996</c:v>
                </c:pt>
                <c:pt idx="53">
                  <c:v>41997</c:v>
                </c:pt>
                <c:pt idx="54">
                  <c:v>41998</c:v>
                </c:pt>
                <c:pt idx="55">
                  <c:v>41999</c:v>
                </c:pt>
                <c:pt idx="56">
                  <c:v>42000</c:v>
                </c:pt>
                <c:pt idx="57">
                  <c:v>42001</c:v>
                </c:pt>
                <c:pt idx="58">
                  <c:v>42002</c:v>
                </c:pt>
                <c:pt idx="59">
                  <c:v>42003</c:v>
                </c:pt>
                <c:pt idx="60">
                  <c:v>42004</c:v>
                </c:pt>
              </c:numCache>
            </c:numRef>
          </c:xVal>
          <c:yVal>
            <c:numRef>
              <c:f>'2014-2015'!$G$1:$BO$1</c:f>
              <c:numCache>
                <c:formatCode>0</c:formatCode>
                <c:ptCount val="61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12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14</c:v>
                </c:pt>
                <c:pt idx="14">
                  <c:v>16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25</c:v>
                </c:pt>
                <c:pt idx="19">
                  <c:v>24</c:v>
                </c:pt>
                <c:pt idx="20">
                  <c:v>26</c:v>
                </c:pt>
                <c:pt idx="21">
                  <c:v>26</c:v>
                </c:pt>
                <c:pt idx="22">
                  <c:v>25</c:v>
                </c:pt>
                <c:pt idx="23">
                  <c:v>28</c:v>
                </c:pt>
                <c:pt idx="24">
                  <c:v>27</c:v>
                </c:pt>
                <c:pt idx="25">
                  <c:v>28</c:v>
                </c:pt>
                <c:pt idx="26">
                  <c:v>28</c:v>
                </c:pt>
                <c:pt idx="27">
                  <c:v>30</c:v>
                </c:pt>
                <c:pt idx="28">
                  <c:v>28</c:v>
                </c:pt>
                <c:pt idx="29">
                  <c:v>27</c:v>
                </c:pt>
                <c:pt idx="30">
                  <c:v>26</c:v>
                </c:pt>
                <c:pt idx="31">
                  <c:v>28</c:v>
                </c:pt>
                <c:pt idx="32">
                  <c:v>28</c:v>
                </c:pt>
                <c:pt idx="33">
                  <c:v>32</c:v>
                </c:pt>
                <c:pt idx="34">
                  <c:v>30</c:v>
                </c:pt>
                <c:pt idx="35">
                  <c:v>32</c:v>
                </c:pt>
                <c:pt idx="36">
                  <c:v>29</c:v>
                </c:pt>
                <c:pt idx="37">
                  <c:v>30</c:v>
                </c:pt>
                <c:pt idx="38">
                  <c:v>33</c:v>
                </c:pt>
                <c:pt idx="39">
                  <c:v>30</c:v>
                </c:pt>
                <c:pt idx="40">
                  <c:v>32</c:v>
                </c:pt>
                <c:pt idx="41">
                  <c:v>29</c:v>
                </c:pt>
                <c:pt idx="42">
                  <c:v>27</c:v>
                </c:pt>
                <c:pt idx="43">
                  <c:v>30</c:v>
                </c:pt>
                <c:pt idx="44">
                  <c:v>31</c:v>
                </c:pt>
                <c:pt idx="45">
                  <c:v>28</c:v>
                </c:pt>
                <c:pt idx="46">
                  <c:v>30</c:v>
                </c:pt>
                <c:pt idx="47">
                  <c:v>30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23</c:v>
                </c:pt>
                <c:pt idx="52">
                  <c:v>24</c:v>
                </c:pt>
                <c:pt idx="53">
                  <c:v>23</c:v>
                </c:pt>
                <c:pt idx="54">
                  <c:v>21</c:v>
                </c:pt>
                <c:pt idx="55">
                  <c:v>19</c:v>
                </c:pt>
                <c:pt idx="56">
                  <c:v>18</c:v>
                </c:pt>
                <c:pt idx="57">
                  <c:v>17</c:v>
                </c:pt>
                <c:pt idx="58">
                  <c:v>17</c:v>
                </c:pt>
                <c:pt idx="59">
                  <c:v>15</c:v>
                </c:pt>
                <c:pt idx="60">
                  <c:v>19</c:v>
                </c:pt>
              </c:numCache>
            </c:numRef>
          </c:yVal>
        </c:ser>
        <c:dLbls/>
        <c:axId val="210106240"/>
        <c:axId val="236164992"/>
      </c:scatterChart>
      <c:valAx>
        <c:axId val="210106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</c:title>
        <c:numFmt formatCode="dd\-mmm\-yy" sourceLinked="1"/>
        <c:majorTickMark val="none"/>
        <c:tickLblPos val="nextTo"/>
        <c:crossAx val="236164992"/>
        <c:crosses val="autoZero"/>
        <c:crossBetween val="midCat"/>
        <c:majorUnit val="10"/>
      </c:valAx>
      <c:valAx>
        <c:axId val="23616499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</c:title>
        <c:numFmt formatCode="0" sourceLinked="1"/>
        <c:majorTickMark val="none"/>
        <c:tickLblPos val="nextTo"/>
        <c:crossAx val="210106240"/>
        <c:crosses val="autoZero"/>
        <c:crossBetween val="midCat"/>
      </c:valAx>
    </c:plotArea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519" cy="607401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285"/>
  <sheetViews>
    <sheetView tabSelected="1" zoomScaleNormal="100" workbookViewId="0">
      <pane xSplit="6" ySplit="2" topLeftCell="G44" activePane="bottomRight" state="frozen"/>
      <selection pane="topRight" activeCell="G1" sqref="G1"/>
      <selection pane="bottomLeft" activeCell="A3" sqref="A3"/>
      <selection pane="bottomRight" activeCell="B1" sqref="B1"/>
    </sheetView>
  </sheetViews>
  <sheetFormatPr defaultRowHeight="12.75"/>
  <cols>
    <col min="1" max="1" width="29.7109375" style="8" customWidth="1"/>
    <col min="2" max="2" width="14.28515625" bestFit="1" customWidth="1"/>
    <col min="3" max="3" width="86.7109375" style="12" customWidth="1"/>
    <col min="4" max="4" width="9.28515625" style="1" bestFit="1" customWidth="1"/>
    <col min="5" max="5" width="6.42578125" style="1" customWidth="1"/>
    <col min="6" max="6" width="9" style="1" bestFit="1" customWidth="1"/>
    <col min="7" max="7" width="11.5703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5703125" style="1" customWidth="1"/>
    <col min="39" max="39" width="11" style="1" customWidth="1"/>
    <col min="40" max="40" width="11.28515625" style="1" customWidth="1"/>
    <col min="41" max="41" width="11.5703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5703125" style="1" customWidth="1"/>
    <col min="49" max="49" width="15.7109375" style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5703125" style="1" customWidth="1"/>
    <col min="55" max="55" width="13.5703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>
      <c r="B1" s="38">
        <f>COUNTIF(B2:B90,"agm*")</f>
        <v>57</v>
      </c>
      <c r="C1" s="37" t="s">
        <v>18</v>
      </c>
      <c r="D1" s="37"/>
      <c r="E1" s="37"/>
      <c r="F1" s="37"/>
      <c r="G1" s="33">
        <f t="shared" ref="G1:AJ1" si="0">COUNTA(G3:G251)-COUNTIF(G3:G251,"IT")</f>
        <v>7</v>
      </c>
      <c r="H1" s="33">
        <f t="shared" si="0"/>
        <v>7</v>
      </c>
      <c r="I1" s="33">
        <f t="shared" si="0"/>
        <v>9</v>
      </c>
      <c r="J1" s="33">
        <f t="shared" si="0"/>
        <v>12</v>
      </c>
      <c r="K1" s="33">
        <f t="shared" si="0"/>
        <v>10</v>
      </c>
      <c r="L1" s="33">
        <f t="shared" si="0"/>
        <v>9</v>
      </c>
      <c r="M1" s="33">
        <f t="shared" si="0"/>
        <v>12</v>
      </c>
      <c r="N1" s="33">
        <f t="shared" si="0"/>
        <v>11</v>
      </c>
      <c r="O1" s="33">
        <f t="shared" si="0"/>
        <v>13</v>
      </c>
      <c r="P1" s="33">
        <f>COUNTA(P3:P251)-COUNTIF(P3:P251,"IT")</f>
        <v>14</v>
      </c>
      <c r="Q1" s="33">
        <f>COUNTA(Q3:Q251)-COUNTIF(Q3:Q251,"IT")</f>
        <v>12</v>
      </c>
      <c r="R1" s="33">
        <f>COUNTA(R3:R251)-COUNTIF(R3:R251,"IT")</f>
        <v>13</v>
      </c>
      <c r="S1" s="33">
        <f t="shared" si="0"/>
        <v>12</v>
      </c>
      <c r="T1" s="33">
        <f t="shared" si="0"/>
        <v>14</v>
      </c>
      <c r="U1" s="33">
        <f t="shared" si="0"/>
        <v>16</v>
      </c>
      <c r="V1" s="33">
        <f t="shared" si="0"/>
        <v>19</v>
      </c>
      <c r="W1" s="33">
        <f t="shared" si="0"/>
        <v>20</v>
      </c>
      <c r="X1" s="33">
        <f t="shared" si="0"/>
        <v>21</v>
      </c>
      <c r="Y1" s="33">
        <f t="shared" si="0"/>
        <v>25</v>
      </c>
      <c r="Z1" s="33">
        <f t="shared" si="0"/>
        <v>24</v>
      </c>
      <c r="AA1" s="33">
        <f t="shared" si="0"/>
        <v>26</v>
      </c>
      <c r="AB1" s="33">
        <f t="shared" si="0"/>
        <v>26</v>
      </c>
      <c r="AC1" s="33">
        <f t="shared" si="0"/>
        <v>25</v>
      </c>
      <c r="AD1" s="33">
        <f t="shared" si="0"/>
        <v>28</v>
      </c>
      <c r="AE1" s="33">
        <f t="shared" si="0"/>
        <v>27</v>
      </c>
      <c r="AF1" s="33">
        <f t="shared" si="0"/>
        <v>28</v>
      </c>
      <c r="AG1" s="33">
        <f t="shared" si="0"/>
        <v>28</v>
      </c>
      <c r="AH1" s="33">
        <f t="shared" si="0"/>
        <v>30</v>
      </c>
      <c r="AI1" s="33">
        <f t="shared" si="0"/>
        <v>28</v>
      </c>
      <c r="AJ1" s="33">
        <f t="shared" si="0"/>
        <v>27</v>
      </c>
      <c r="AK1" s="33">
        <f>COUNTA(AK3:AK251)-COUNTIF(AK3:AK251,"IT")</f>
        <v>26</v>
      </c>
      <c r="AL1" s="33">
        <f>COUNTA(AL3:AL251)-COUNTIF(AL3:AL251,"IT")</f>
        <v>28</v>
      </c>
      <c r="AM1" s="33">
        <f t="shared" ref="AM1:BO1" si="1">COUNTA(AM3:AM251)-COUNTIF(AM3:AM251,"IT")</f>
        <v>28</v>
      </c>
      <c r="AN1" s="33">
        <f t="shared" si="1"/>
        <v>32</v>
      </c>
      <c r="AO1" s="33">
        <f t="shared" si="1"/>
        <v>30</v>
      </c>
      <c r="AP1" s="33">
        <f t="shared" si="1"/>
        <v>32</v>
      </c>
      <c r="AQ1" s="33">
        <f t="shared" si="1"/>
        <v>29</v>
      </c>
      <c r="AR1" s="33">
        <f t="shared" si="1"/>
        <v>30</v>
      </c>
      <c r="AS1" s="33">
        <f t="shared" si="1"/>
        <v>33</v>
      </c>
      <c r="AT1" s="33">
        <f t="shared" si="1"/>
        <v>30</v>
      </c>
      <c r="AU1" s="33">
        <f t="shared" si="1"/>
        <v>32</v>
      </c>
      <c r="AV1" s="33">
        <f t="shared" si="1"/>
        <v>29</v>
      </c>
      <c r="AW1" s="33">
        <f t="shared" si="1"/>
        <v>27</v>
      </c>
      <c r="AX1" s="33">
        <f t="shared" si="1"/>
        <v>30</v>
      </c>
      <c r="AY1" s="33">
        <f t="shared" si="1"/>
        <v>31</v>
      </c>
      <c r="AZ1" s="33">
        <f t="shared" si="1"/>
        <v>28</v>
      </c>
      <c r="BA1" s="33">
        <f t="shared" si="1"/>
        <v>30</v>
      </c>
      <c r="BB1" s="33">
        <f t="shared" si="1"/>
        <v>30</v>
      </c>
      <c r="BC1" s="33">
        <f t="shared" si="1"/>
        <v>28</v>
      </c>
      <c r="BD1" s="33">
        <f t="shared" si="1"/>
        <v>29</v>
      </c>
      <c r="BE1" s="33">
        <f t="shared" si="1"/>
        <v>30</v>
      </c>
      <c r="BF1" s="33">
        <f t="shared" si="1"/>
        <v>23</v>
      </c>
      <c r="BG1" s="33">
        <f t="shared" si="1"/>
        <v>24</v>
      </c>
      <c r="BH1" s="33">
        <f t="shared" si="1"/>
        <v>23</v>
      </c>
      <c r="BI1" s="33">
        <f t="shared" si="1"/>
        <v>21</v>
      </c>
      <c r="BJ1" s="33">
        <f t="shared" si="1"/>
        <v>19</v>
      </c>
      <c r="BK1" s="33">
        <f t="shared" si="1"/>
        <v>18</v>
      </c>
      <c r="BL1" s="33">
        <f t="shared" si="1"/>
        <v>17</v>
      </c>
      <c r="BM1" s="33">
        <f t="shared" si="1"/>
        <v>17</v>
      </c>
      <c r="BN1" s="33">
        <f t="shared" si="1"/>
        <v>15</v>
      </c>
      <c r="BO1" s="33">
        <f t="shared" si="1"/>
        <v>19</v>
      </c>
    </row>
    <row r="2" spans="1:104" s="15" customFormat="1">
      <c r="A2" s="15" t="s">
        <v>12</v>
      </c>
      <c r="B2" s="15" t="s">
        <v>2</v>
      </c>
      <c r="C2" s="15" t="s">
        <v>18</v>
      </c>
      <c r="D2" s="17" t="s">
        <v>0</v>
      </c>
      <c r="E2" s="18" t="s">
        <v>1</v>
      </c>
      <c r="F2" s="15" t="s">
        <v>19</v>
      </c>
      <c r="G2" s="19">
        <v>41944</v>
      </c>
      <c r="H2" s="19">
        <v>41945</v>
      </c>
      <c r="I2" s="19">
        <v>41946</v>
      </c>
      <c r="J2" s="19">
        <v>41947</v>
      </c>
      <c r="K2" s="19">
        <v>41948</v>
      </c>
      <c r="L2" s="19">
        <v>41949</v>
      </c>
      <c r="M2" s="19">
        <v>41950</v>
      </c>
      <c r="N2" s="19">
        <v>41951</v>
      </c>
      <c r="O2" s="19">
        <v>41952</v>
      </c>
      <c r="P2" s="19">
        <v>41953</v>
      </c>
      <c r="Q2" s="19">
        <v>41954</v>
      </c>
      <c r="R2" s="19">
        <v>41955</v>
      </c>
      <c r="S2" s="19">
        <v>41956</v>
      </c>
      <c r="T2" s="19">
        <v>41957</v>
      </c>
      <c r="U2" s="19">
        <v>41958</v>
      </c>
      <c r="V2" s="19">
        <v>41959</v>
      </c>
      <c r="W2" s="19">
        <v>41960</v>
      </c>
      <c r="X2" s="19">
        <v>41961</v>
      </c>
      <c r="Y2" s="19">
        <v>41962</v>
      </c>
      <c r="Z2" s="19">
        <v>41963</v>
      </c>
      <c r="AA2" s="19">
        <v>41964</v>
      </c>
      <c r="AB2" s="19">
        <v>41965</v>
      </c>
      <c r="AC2" s="19">
        <v>41966</v>
      </c>
      <c r="AD2" s="19">
        <v>41967</v>
      </c>
      <c r="AE2" s="19">
        <v>41968</v>
      </c>
      <c r="AF2" s="19">
        <v>41969</v>
      </c>
      <c r="AG2" s="19">
        <v>41970</v>
      </c>
      <c r="AH2" s="19">
        <v>41971</v>
      </c>
      <c r="AI2" s="19">
        <v>41972</v>
      </c>
      <c r="AJ2" s="19">
        <v>41973</v>
      </c>
      <c r="AK2" s="19">
        <v>41974</v>
      </c>
      <c r="AL2" s="19">
        <v>41975</v>
      </c>
      <c r="AM2" s="19">
        <v>41976</v>
      </c>
      <c r="AN2" s="19">
        <v>41977</v>
      </c>
      <c r="AO2" s="19">
        <v>41978</v>
      </c>
      <c r="AP2" s="19">
        <v>41979</v>
      </c>
      <c r="AQ2" s="19">
        <v>41980</v>
      </c>
      <c r="AR2" s="19">
        <v>41981</v>
      </c>
      <c r="AS2" s="19">
        <v>41982</v>
      </c>
      <c r="AT2" s="19">
        <v>41983</v>
      </c>
      <c r="AU2" s="19">
        <v>41984</v>
      </c>
      <c r="AV2" s="19">
        <v>41985</v>
      </c>
      <c r="AW2" s="19">
        <v>41986</v>
      </c>
      <c r="AX2" s="19">
        <v>41987</v>
      </c>
      <c r="AY2" s="19">
        <v>41988</v>
      </c>
      <c r="AZ2" s="19">
        <v>41989</v>
      </c>
      <c r="BA2" s="19">
        <v>41990</v>
      </c>
      <c r="BB2" s="19">
        <v>41991</v>
      </c>
      <c r="BC2" s="19">
        <v>41992</v>
      </c>
      <c r="BD2" s="19">
        <v>41993</v>
      </c>
      <c r="BE2" s="19">
        <v>41994</v>
      </c>
      <c r="BF2" s="19">
        <v>41995</v>
      </c>
      <c r="BG2" s="19">
        <v>41996</v>
      </c>
      <c r="BH2" s="19">
        <v>41997</v>
      </c>
      <c r="BI2" s="19">
        <v>41998</v>
      </c>
      <c r="BJ2" s="19">
        <v>41999</v>
      </c>
      <c r="BK2" s="19">
        <v>42000</v>
      </c>
      <c r="BL2" s="19">
        <v>42001</v>
      </c>
      <c r="BM2" s="19">
        <v>42002</v>
      </c>
      <c r="BN2" s="19">
        <v>42003</v>
      </c>
      <c r="BO2" s="19">
        <v>42004</v>
      </c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</row>
    <row r="3" spans="1:104" s="8" customFormat="1">
      <c r="A3" s="9"/>
      <c r="B3" s="9" t="s">
        <v>568</v>
      </c>
      <c r="C3" s="15" t="s">
        <v>581</v>
      </c>
      <c r="D3" s="7" t="s">
        <v>14</v>
      </c>
      <c r="E3" s="7" t="s">
        <v>496</v>
      </c>
      <c r="F3" s="7" t="s">
        <v>21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7"/>
      <c r="AM3" s="4"/>
      <c r="AN3" s="4"/>
      <c r="AO3" s="4"/>
      <c r="AP3" s="7" t="s">
        <v>240</v>
      </c>
      <c r="AQ3" s="7" t="s">
        <v>240</v>
      </c>
      <c r="AR3" s="7" t="s">
        <v>595</v>
      </c>
      <c r="AS3" s="7" t="s">
        <v>240</v>
      </c>
      <c r="AT3" s="7" t="s">
        <v>595</v>
      </c>
      <c r="AU3" s="4" t="s">
        <v>240</v>
      </c>
      <c r="AV3" s="7" t="s">
        <v>314</v>
      </c>
      <c r="AW3" s="7" t="s">
        <v>639</v>
      </c>
      <c r="AX3" s="7" t="s">
        <v>342</v>
      </c>
      <c r="AY3" s="4" t="s">
        <v>240</v>
      </c>
      <c r="AZ3" s="4" t="s">
        <v>595</v>
      </c>
      <c r="BA3" s="7" t="s">
        <v>675</v>
      </c>
      <c r="BB3" s="4" t="s">
        <v>678</v>
      </c>
      <c r="BC3" s="4"/>
      <c r="BD3" s="4"/>
      <c r="BE3" s="4"/>
      <c r="BF3" s="7"/>
      <c r="BG3" s="7"/>
      <c r="BH3" s="4"/>
      <c r="BI3" s="4"/>
      <c r="BJ3" s="7"/>
      <c r="BK3" s="7"/>
      <c r="BL3" s="7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104" s="8" customFormat="1">
      <c r="A4" s="9"/>
      <c r="B4" s="9" t="s">
        <v>600</v>
      </c>
      <c r="C4" s="9" t="s">
        <v>388</v>
      </c>
      <c r="D4" s="7" t="s">
        <v>14</v>
      </c>
      <c r="E4" s="7" t="s">
        <v>21</v>
      </c>
      <c r="F4" s="7" t="s">
        <v>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277</v>
      </c>
      <c r="Z4" s="7" t="s">
        <v>277</v>
      </c>
      <c r="AA4" s="7" t="s">
        <v>277</v>
      </c>
      <c r="AB4" s="4"/>
      <c r="AC4" s="7" t="s">
        <v>272</v>
      </c>
      <c r="AD4" s="4"/>
      <c r="AE4" s="4"/>
      <c r="AF4" s="4" t="s">
        <v>272</v>
      </c>
      <c r="AG4" s="4"/>
      <c r="AH4" s="4" t="s">
        <v>272</v>
      </c>
      <c r="AI4" s="7"/>
      <c r="AJ4" s="4"/>
      <c r="AK4" s="4"/>
      <c r="AL4" s="7"/>
      <c r="AM4" s="7"/>
      <c r="AN4" s="7"/>
      <c r="AO4" s="4"/>
      <c r="AP4" s="7" t="s">
        <v>272</v>
      </c>
      <c r="AQ4" s="7" t="s">
        <v>272</v>
      </c>
      <c r="AR4" s="7" t="s">
        <v>272</v>
      </c>
      <c r="AS4" s="7" t="s">
        <v>272</v>
      </c>
      <c r="AT4" s="7" t="s">
        <v>272</v>
      </c>
      <c r="AU4" s="4"/>
      <c r="AV4" s="7" t="s">
        <v>272</v>
      </c>
      <c r="AW4" s="7"/>
      <c r="AX4" s="7" t="s">
        <v>272</v>
      </c>
      <c r="AY4" s="4" t="s">
        <v>272</v>
      </c>
      <c r="AZ4" s="4" t="s">
        <v>272</v>
      </c>
      <c r="BA4" s="7" t="s">
        <v>272</v>
      </c>
      <c r="BB4" s="4" t="s">
        <v>272</v>
      </c>
      <c r="BC4" s="7" t="s">
        <v>272</v>
      </c>
      <c r="BD4" s="4" t="s">
        <v>272</v>
      </c>
      <c r="BE4" s="7" t="s">
        <v>272</v>
      </c>
      <c r="BF4" s="4" t="s">
        <v>272</v>
      </c>
      <c r="BG4" s="4" t="s">
        <v>272</v>
      </c>
      <c r="BH4" s="4"/>
      <c r="BI4" s="4" t="s">
        <v>272</v>
      </c>
      <c r="BJ4" s="4" t="s">
        <v>272</v>
      </c>
      <c r="BK4" s="4"/>
      <c r="BL4" s="4" t="s">
        <v>744</v>
      </c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8" customFormat="1">
      <c r="A5" s="9" t="s">
        <v>543</v>
      </c>
      <c r="B5" s="9" t="s">
        <v>547</v>
      </c>
      <c r="C5" s="9" t="s">
        <v>570</v>
      </c>
      <c r="D5" s="7" t="s">
        <v>14</v>
      </c>
      <c r="E5" s="7" t="s">
        <v>496</v>
      </c>
      <c r="F5" s="7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7"/>
      <c r="AK5" s="7"/>
      <c r="AL5" s="7"/>
      <c r="AM5" s="7"/>
      <c r="AN5" s="7" t="s">
        <v>539</v>
      </c>
      <c r="AO5" s="7" t="s">
        <v>562</v>
      </c>
      <c r="AP5" s="7" t="s">
        <v>436</v>
      </c>
      <c r="AQ5" s="7" t="s">
        <v>563</v>
      </c>
      <c r="AR5" s="7" t="s">
        <v>539</v>
      </c>
      <c r="AS5" s="7" t="s">
        <v>382</v>
      </c>
      <c r="AT5" s="7" t="s">
        <v>618</v>
      </c>
      <c r="AU5" s="4" t="s">
        <v>563</v>
      </c>
      <c r="AV5" s="7" t="s">
        <v>563</v>
      </c>
      <c r="AW5" s="4" t="s">
        <v>562</v>
      </c>
      <c r="AX5" s="7" t="s">
        <v>562</v>
      </c>
      <c r="AY5" s="4" t="s">
        <v>562</v>
      </c>
      <c r="AZ5" s="4" t="s">
        <v>462</v>
      </c>
      <c r="BA5" s="7" t="s">
        <v>539</v>
      </c>
      <c r="BB5" s="4" t="s">
        <v>462</v>
      </c>
      <c r="BC5" s="7" t="s">
        <v>562</v>
      </c>
      <c r="BD5" s="4" t="s">
        <v>539</v>
      </c>
      <c r="BE5" s="7" t="s">
        <v>22</v>
      </c>
      <c r="BF5" s="7" t="s">
        <v>707</v>
      </c>
      <c r="BG5" s="7" t="s">
        <v>707</v>
      </c>
      <c r="BH5" s="7" t="s">
        <v>562</v>
      </c>
      <c r="BI5" s="4" t="s">
        <v>539</v>
      </c>
      <c r="BJ5" s="4" t="s">
        <v>732</v>
      </c>
      <c r="BK5" s="4" t="s">
        <v>742</v>
      </c>
      <c r="BL5" s="4" t="s">
        <v>563</v>
      </c>
      <c r="BM5" s="4" t="s">
        <v>625</v>
      </c>
      <c r="BN5" s="4" t="s">
        <v>561</v>
      </c>
      <c r="BO5" s="4" t="s">
        <v>756</v>
      </c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104" s="8" customFormat="1">
      <c r="B6" s="9" t="s">
        <v>717</v>
      </c>
      <c r="C6" s="9" t="s">
        <v>705</v>
      </c>
      <c r="D6" s="6" t="s">
        <v>14</v>
      </c>
      <c r="E6" s="6" t="s">
        <v>496</v>
      </c>
      <c r="F6" s="6" t="s">
        <v>21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6"/>
      <c r="AQ6" s="6"/>
      <c r="AR6" s="6"/>
      <c r="AS6" s="6"/>
      <c r="AT6" s="6"/>
      <c r="AU6" s="1"/>
      <c r="AV6" s="6"/>
      <c r="AW6" s="6"/>
      <c r="AX6" s="1"/>
      <c r="AY6" s="1"/>
      <c r="AZ6" s="1"/>
      <c r="BA6" s="6"/>
      <c r="BB6" s="1"/>
      <c r="BC6" s="1"/>
      <c r="BD6" s="1"/>
      <c r="BE6" s="6" t="s">
        <v>251</v>
      </c>
      <c r="BF6" s="6" t="s">
        <v>399</v>
      </c>
      <c r="BG6" s="6" t="s">
        <v>616</v>
      </c>
      <c r="BH6" s="1" t="s">
        <v>399</v>
      </c>
      <c r="BI6" s="1" t="s">
        <v>399</v>
      </c>
      <c r="BJ6" s="6" t="s">
        <v>265</v>
      </c>
      <c r="BK6" s="1" t="s">
        <v>265</v>
      </c>
      <c r="BL6" s="1" t="s">
        <v>676</v>
      </c>
      <c r="BM6" s="1" t="s">
        <v>303</v>
      </c>
      <c r="BN6" s="1" t="s">
        <v>399</v>
      </c>
      <c r="BO6" s="1" t="s">
        <v>303</v>
      </c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8" customFormat="1">
      <c r="A7" s="8" t="s">
        <v>380</v>
      </c>
      <c r="B7" s="9" t="s">
        <v>497</v>
      </c>
      <c r="C7" s="9" t="s">
        <v>396</v>
      </c>
      <c r="D7" s="4" t="s">
        <v>14</v>
      </c>
      <c r="E7" s="7" t="s">
        <v>496</v>
      </c>
      <c r="F7" s="6" t="s">
        <v>21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7" t="s">
        <v>330</v>
      </c>
      <c r="V7" s="4" t="s">
        <v>344</v>
      </c>
      <c r="W7" s="7" t="s">
        <v>289</v>
      </c>
      <c r="X7" s="7" t="s">
        <v>330</v>
      </c>
      <c r="Y7" s="4" t="s">
        <v>379</v>
      </c>
      <c r="Z7" s="7" t="s">
        <v>330</v>
      </c>
      <c r="AA7" s="7" t="s">
        <v>344</v>
      </c>
      <c r="AB7" s="7" t="s">
        <v>289</v>
      </c>
      <c r="AC7" s="4" t="s">
        <v>330</v>
      </c>
      <c r="AD7" s="4" t="s">
        <v>272</v>
      </c>
      <c r="AE7" s="4" t="s">
        <v>272</v>
      </c>
      <c r="AF7" s="4" t="s">
        <v>344</v>
      </c>
      <c r="AG7" s="4" t="s">
        <v>330</v>
      </c>
      <c r="AH7" s="7" t="s">
        <v>344</v>
      </c>
      <c r="AI7" s="4" t="s">
        <v>330</v>
      </c>
      <c r="AJ7" s="4" t="s">
        <v>330</v>
      </c>
      <c r="AK7" s="4" t="s">
        <v>344</v>
      </c>
      <c r="AL7" s="4" t="s">
        <v>330</v>
      </c>
      <c r="AM7" s="4" t="s">
        <v>405</v>
      </c>
      <c r="AN7" s="7" t="s">
        <v>405</v>
      </c>
      <c r="AO7" s="7" t="s">
        <v>558</v>
      </c>
      <c r="AP7" s="7" t="s">
        <v>405</v>
      </c>
      <c r="AQ7" s="7" t="s">
        <v>43</v>
      </c>
      <c r="AR7" s="7" t="s">
        <v>558</v>
      </c>
      <c r="AS7" s="7" t="s">
        <v>330</v>
      </c>
      <c r="AT7" s="7" t="s">
        <v>558</v>
      </c>
      <c r="AU7" s="4" t="s">
        <v>558</v>
      </c>
      <c r="AV7" s="7" t="s">
        <v>289</v>
      </c>
      <c r="AW7" s="7" t="s">
        <v>405</v>
      </c>
      <c r="AX7" s="7" t="s">
        <v>558</v>
      </c>
      <c r="AY7" s="4" t="s">
        <v>265</v>
      </c>
      <c r="AZ7" s="4" t="s">
        <v>265</v>
      </c>
      <c r="BA7" s="4" t="s">
        <v>676</v>
      </c>
      <c r="BB7" s="4" t="s">
        <v>289</v>
      </c>
      <c r="BC7" s="4" t="s">
        <v>289</v>
      </c>
      <c r="BD7" s="4" t="s">
        <v>676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104" s="8" customFormat="1">
      <c r="A8" s="9"/>
      <c r="B8" s="9" t="s">
        <v>555</v>
      </c>
      <c r="C8" s="9" t="s">
        <v>440</v>
      </c>
      <c r="D8" s="7" t="s">
        <v>14</v>
      </c>
      <c r="E8" s="7" t="s">
        <v>21</v>
      </c>
      <c r="F8" s="7" t="s">
        <v>21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28</v>
      </c>
      <c r="Z8" s="7" t="s">
        <v>28</v>
      </c>
      <c r="AA8" s="7" t="s">
        <v>401</v>
      </c>
      <c r="AB8" s="7" t="s">
        <v>28</v>
      </c>
      <c r="AC8" s="7" t="s">
        <v>419</v>
      </c>
      <c r="AD8" s="4" t="s">
        <v>272</v>
      </c>
      <c r="AE8" s="4" t="s">
        <v>272</v>
      </c>
      <c r="AF8" s="4" t="s">
        <v>272</v>
      </c>
      <c r="AG8" s="4"/>
      <c r="AH8" s="4" t="s">
        <v>272</v>
      </c>
      <c r="AI8" s="7"/>
      <c r="AJ8" s="4"/>
      <c r="AK8" s="7"/>
      <c r="AL8" s="7" t="s">
        <v>272</v>
      </c>
      <c r="AM8" s="4"/>
      <c r="AN8" s="4"/>
      <c r="AO8" s="7" t="s">
        <v>272</v>
      </c>
      <c r="AP8" s="4"/>
      <c r="AQ8" s="7"/>
      <c r="AR8" s="7"/>
      <c r="AS8" s="4"/>
      <c r="AT8" s="4"/>
      <c r="AU8" s="4"/>
      <c r="AV8" s="7" t="s">
        <v>272</v>
      </c>
      <c r="AW8" s="7"/>
      <c r="AX8" s="7" t="s">
        <v>272</v>
      </c>
      <c r="AY8" s="4"/>
      <c r="AZ8" s="4"/>
      <c r="BA8" s="7"/>
      <c r="BB8" s="4" t="s">
        <v>272</v>
      </c>
      <c r="BC8" s="4"/>
      <c r="BD8" s="7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8" customFormat="1">
      <c r="A9" s="9"/>
      <c r="B9" s="9"/>
      <c r="C9" s="9" t="s">
        <v>686</v>
      </c>
      <c r="D9" s="7" t="s">
        <v>17</v>
      </c>
      <c r="E9" s="7" t="s">
        <v>21</v>
      </c>
      <c r="F9" s="7" t="s">
        <v>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7"/>
      <c r="AM9" s="4"/>
      <c r="AN9" s="4"/>
      <c r="AO9" s="4"/>
      <c r="AP9" s="7" t="s">
        <v>394</v>
      </c>
      <c r="AQ9" s="4" t="s">
        <v>272</v>
      </c>
      <c r="AR9" s="7" t="s">
        <v>272</v>
      </c>
      <c r="AS9" s="4"/>
      <c r="AT9" s="7"/>
      <c r="AU9" s="4"/>
      <c r="AV9" s="4"/>
      <c r="AW9" s="7"/>
      <c r="AX9" s="4"/>
      <c r="AY9" s="4"/>
      <c r="AZ9" s="4" t="s">
        <v>663</v>
      </c>
      <c r="BA9" s="7" t="s">
        <v>53</v>
      </c>
      <c r="BB9" s="4" t="s">
        <v>460</v>
      </c>
      <c r="BC9" s="4" t="s">
        <v>53</v>
      </c>
      <c r="BD9" s="4"/>
      <c r="BE9" s="4"/>
      <c r="BF9" s="7"/>
      <c r="BG9" s="7"/>
      <c r="BH9" s="4"/>
      <c r="BI9" s="4"/>
      <c r="BJ9" s="7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104" s="8" customFormat="1">
      <c r="B10" s="9"/>
      <c r="C10" s="9" t="s">
        <v>242</v>
      </c>
      <c r="D10" s="7" t="s">
        <v>14</v>
      </c>
      <c r="E10" s="7" t="s">
        <v>21</v>
      </c>
      <c r="F10" s="9" t="s">
        <v>21</v>
      </c>
      <c r="G10" s="4"/>
      <c r="H10" s="4"/>
      <c r="I10" s="4"/>
      <c r="J10" s="7" t="s">
        <v>52</v>
      </c>
      <c r="K10" s="4" t="s">
        <v>52</v>
      </c>
      <c r="L10" s="4" t="s">
        <v>241</v>
      </c>
      <c r="M10" s="4" t="s">
        <v>250</v>
      </c>
      <c r="N10" s="34" t="s">
        <v>250</v>
      </c>
      <c r="O10" s="4" t="s">
        <v>274</v>
      </c>
      <c r="P10" s="7" t="s">
        <v>291</v>
      </c>
      <c r="Q10" s="7" t="s">
        <v>250</v>
      </c>
      <c r="R10" s="7" t="s">
        <v>303</v>
      </c>
      <c r="S10" s="4" t="s">
        <v>241</v>
      </c>
      <c r="T10" s="4" t="s">
        <v>303</v>
      </c>
      <c r="U10" s="7" t="s">
        <v>303</v>
      </c>
      <c r="V10" s="4" t="s">
        <v>291</v>
      </c>
      <c r="W10" s="7" t="s">
        <v>250</v>
      </c>
      <c r="X10" s="7" t="s">
        <v>52</v>
      </c>
      <c r="Y10" s="7" t="s">
        <v>274</v>
      </c>
      <c r="Z10" s="7" t="s">
        <v>274</v>
      </c>
      <c r="AA10" s="7" t="s">
        <v>250</v>
      </c>
      <c r="AB10" s="4" t="s">
        <v>291</v>
      </c>
      <c r="AC10" s="4"/>
      <c r="AD10" s="4" t="s">
        <v>291</v>
      </c>
      <c r="AE10" s="7" t="s">
        <v>291</v>
      </c>
      <c r="AF10" s="4" t="s">
        <v>442</v>
      </c>
      <c r="AG10" s="4" t="s">
        <v>449</v>
      </c>
      <c r="AH10" s="7" t="s">
        <v>460</v>
      </c>
      <c r="AI10" s="7" t="s">
        <v>442</v>
      </c>
      <c r="AJ10" s="4" t="s">
        <v>449</v>
      </c>
      <c r="AK10" s="7" t="s">
        <v>272</v>
      </c>
      <c r="AL10" s="7"/>
      <c r="AM10" s="7"/>
      <c r="AN10" s="7"/>
      <c r="AO10" s="4"/>
      <c r="AP10" s="7"/>
      <c r="AQ10" s="4"/>
      <c r="AR10" s="4"/>
      <c r="AS10" s="4"/>
      <c r="AT10" s="7"/>
      <c r="AU10" s="4"/>
      <c r="AV10" s="7"/>
      <c r="AW10" s="4"/>
      <c r="AX10" s="4"/>
      <c r="AY10" s="4"/>
      <c r="AZ10" s="4"/>
      <c r="BA10" s="4"/>
      <c r="BB10" s="4"/>
      <c r="BC10" s="4"/>
      <c r="BD10" s="4" t="s">
        <v>691</v>
      </c>
      <c r="BE10" s="7" t="s">
        <v>44</v>
      </c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>
      <c r="B11" s="9" t="s">
        <v>668</v>
      </c>
      <c r="C11" s="9" t="s">
        <v>650</v>
      </c>
      <c r="D11" s="7" t="s">
        <v>14</v>
      </c>
      <c r="E11" s="7" t="s">
        <v>496</v>
      </c>
      <c r="F11" s="7" t="s">
        <v>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7"/>
      <c r="AP11" s="7"/>
      <c r="AQ11" s="7"/>
      <c r="AR11" s="7"/>
      <c r="AS11" s="7"/>
      <c r="AT11" s="7"/>
      <c r="AU11" s="4"/>
      <c r="AV11" s="7"/>
      <c r="AW11" s="7" t="s">
        <v>360</v>
      </c>
      <c r="AX11" s="7" t="s">
        <v>54</v>
      </c>
      <c r="AY11" s="4" t="s">
        <v>656</v>
      </c>
      <c r="AZ11" s="4" t="s">
        <v>662</v>
      </c>
      <c r="BA11" s="7" t="s">
        <v>290</v>
      </c>
      <c r="BB11" s="4" t="s">
        <v>290</v>
      </c>
      <c r="BC11" s="4" t="s">
        <v>662</v>
      </c>
      <c r="BD11" s="7" t="s">
        <v>243</v>
      </c>
      <c r="BE11" s="7" t="s">
        <v>417</v>
      </c>
      <c r="BF11" s="4" t="s">
        <v>656</v>
      </c>
      <c r="BG11" s="4" t="s">
        <v>243</v>
      </c>
      <c r="BH11" s="4" t="s">
        <v>360</v>
      </c>
      <c r="BI11" s="4" t="s">
        <v>656</v>
      </c>
      <c r="BJ11" s="4" t="s">
        <v>393</v>
      </c>
      <c r="BK11" s="4" t="s">
        <v>360</v>
      </c>
      <c r="BL11" s="4" t="s">
        <v>393</v>
      </c>
      <c r="BM11" s="4" t="s">
        <v>656</v>
      </c>
      <c r="BN11" s="4" t="s">
        <v>360</v>
      </c>
      <c r="BO11" s="4" t="s">
        <v>656</v>
      </c>
    </row>
    <row r="12" spans="1:104" s="8" customFormat="1">
      <c r="B12" s="9" t="s">
        <v>502</v>
      </c>
      <c r="C12" s="9" t="s">
        <v>432</v>
      </c>
      <c r="D12" s="7" t="s">
        <v>17</v>
      </c>
      <c r="E12" s="7" t="s">
        <v>496</v>
      </c>
      <c r="F12" s="9" t="s">
        <v>21</v>
      </c>
      <c r="G12" s="4"/>
      <c r="H12" s="4" t="s">
        <v>23</v>
      </c>
      <c r="I12" s="4" t="s">
        <v>23</v>
      </c>
      <c r="J12" s="4" t="s">
        <v>23</v>
      </c>
      <c r="K12" s="7" t="s">
        <v>23</v>
      </c>
      <c r="L12" s="4" t="s">
        <v>23</v>
      </c>
      <c r="M12" s="4" t="s">
        <v>23</v>
      </c>
      <c r="N12" s="4"/>
      <c r="O12" s="4" t="s">
        <v>272</v>
      </c>
      <c r="P12" s="4" t="s">
        <v>289</v>
      </c>
      <c r="Q12" s="7"/>
      <c r="R12" s="7" t="s">
        <v>301</v>
      </c>
      <c r="S12" s="7"/>
      <c r="T12" s="7" t="s">
        <v>272</v>
      </c>
      <c r="U12" s="7"/>
      <c r="V12" s="7"/>
      <c r="W12" s="4"/>
      <c r="X12" s="7"/>
      <c r="Y12" s="4"/>
      <c r="Z12" s="7"/>
      <c r="AA12" s="7"/>
      <c r="AB12" s="4"/>
      <c r="AC12" s="4"/>
      <c r="AD12" s="4" t="s">
        <v>430</v>
      </c>
      <c r="AE12" s="4" t="s">
        <v>435</v>
      </c>
      <c r="AF12" s="4" t="s">
        <v>443</v>
      </c>
      <c r="AG12" s="4" t="s">
        <v>443</v>
      </c>
      <c r="AH12" s="4" t="s">
        <v>435</v>
      </c>
      <c r="AI12" s="4" t="s">
        <v>435</v>
      </c>
      <c r="AJ12" s="4" t="s">
        <v>400</v>
      </c>
      <c r="AK12" s="4" t="s">
        <v>449</v>
      </c>
      <c r="AL12" s="7" t="s">
        <v>44</v>
      </c>
      <c r="AM12" s="4" t="s">
        <v>302</v>
      </c>
      <c r="AN12" s="4" t="s">
        <v>537</v>
      </c>
      <c r="AO12" s="7" t="s">
        <v>302</v>
      </c>
      <c r="AP12" s="7" t="s">
        <v>576</v>
      </c>
      <c r="AQ12" s="7" t="s">
        <v>353</v>
      </c>
      <c r="AR12" s="7" t="s">
        <v>435</v>
      </c>
      <c r="AS12" s="7" t="s">
        <v>608</v>
      </c>
      <c r="AT12" s="7"/>
      <c r="AU12" s="4" t="s">
        <v>624</v>
      </c>
      <c r="AV12" s="7" t="s">
        <v>635</v>
      </c>
      <c r="AW12" s="7" t="s">
        <v>643</v>
      </c>
      <c r="AX12" s="7" t="s">
        <v>651</v>
      </c>
      <c r="AY12" s="4" t="s">
        <v>657</v>
      </c>
      <c r="AZ12" s="7" t="s">
        <v>430</v>
      </c>
      <c r="BA12" s="7" t="s">
        <v>430</v>
      </c>
      <c r="BB12" s="4" t="s">
        <v>430</v>
      </c>
      <c r="BC12" s="7" t="s">
        <v>657</v>
      </c>
      <c r="BD12" s="4" t="s">
        <v>443</v>
      </c>
      <c r="BE12" s="7" t="s">
        <v>443</v>
      </c>
      <c r="BF12" s="4" t="s">
        <v>443</v>
      </c>
      <c r="BG12" s="4" t="s">
        <v>430</v>
      </c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8" customFormat="1">
      <c r="A13" s="9" t="s">
        <v>509</v>
      </c>
      <c r="B13" s="9" t="s">
        <v>515</v>
      </c>
      <c r="C13" s="9" t="s">
        <v>522</v>
      </c>
      <c r="D13" s="7" t="s">
        <v>17</v>
      </c>
      <c r="E13" s="7" t="s">
        <v>496</v>
      </c>
      <c r="F13" s="7" t="s">
        <v>21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7"/>
      <c r="AL13" s="7" t="s">
        <v>492</v>
      </c>
      <c r="AM13" s="4" t="s">
        <v>492</v>
      </c>
      <c r="AN13" s="4" t="s">
        <v>541</v>
      </c>
      <c r="AO13" s="7" t="s">
        <v>566</v>
      </c>
      <c r="AP13" s="7" t="s">
        <v>579</v>
      </c>
      <c r="AQ13" s="4" t="s">
        <v>492</v>
      </c>
      <c r="AR13" s="4" t="s">
        <v>541</v>
      </c>
      <c r="AS13" s="7" t="s">
        <v>492</v>
      </c>
      <c r="AT13" s="7" t="s">
        <v>541</v>
      </c>
      <c r="AU13" s="4" t="s">
        <v>541</v>
      </c>
      <c r="AV13" s="4" t="s">
        <v>492</v>
      </c>
      <c r="AW13" s="4" t="s">
        <v>492</v>
      </c>
      <c r="AX13" s="7" t="s">
        <v>655</v>
      </c>
      <c r="AY13" s="4" t="s">
        <v>492</v>
      </c>
      <c r="AZ13" s="4" t="s">
        <v>439</v>
      </c>
      <c r="BA13" s="4" t="s">
        <v>566</v>
      </c>
      <c r="BB13" s="4" t="s">
        <v>566</v>
      </c>
      <c r="BC13" s="7" t="s">
        <v>655</v>
      </c>
      <c r="BD13" s="4" t="s">
        <v>655</v>
      </c>
      <c r="BE13" s="7" t="s">
        <v>655</v>
      </c>
      <c r="BF13" s="4" t="s">
        <v>655</v>
      </c>
      <c r="BG13" s="4" t="s">
        <v>655</v>
      </c>
      <c r="BH13" s="4" t="s">
        <v>655</v>
      </c>
      <c r="BI13" s="4" t="s">
        <v>730</v>
      </c>
      <c r="BJ13" s="4" t="s">
        <v>566</v>
      </c>
      <c r="BK13" s="7" t="s">
        <v>655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104" s="8" customFormat="1">
      <c r="A14" s="9" t="s">
        <v>602</v>
      </c>
      <c r="B14" s="9" t="s">
        <v>529</v>
      </c>
      <c r="C14" s="9" t="s">
        <v>631</v>
      </c>
      <c r="D14" s="7" t="s">
        <v>15</v>
      </c>
      <c r="E14" s="7" t="s">
        <v>21</v>
      </c>
      <c r="F14" s="7" t="s">
        <v>21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 t="s">
        <v>402</v>
      </c>
      <c r="AB14" s="4" t="s">
        <v>409</v>
      </c>
      <c r="AC14" s="7" t="s">
        <v>420</v>
      </c>
      <c r="AD14" s="4" t="s">
        <v>420</v>
      </c>
      <c r="AE14" s="4" t="s">
        <v>439</v>
      </c>
      <c r="AF14" s="4" t="s">
        <v>420</v>
      </c>
      <c r="AG14" s="7" t="s">
        <v>452</v>
      </c>
      <c r="AH14" s="4" t="s">
        <v>466</v>
      </c>
      <c r="AI14" s="7" t="s">
        <v>480</v>
      </c>
      <c r="AJ14" s="7" t="s">
        <v>466</v>
      </c>
      <c r="AK14" s="4" t="s">
        <v>491</v>
      </c>
      <c r="AL14" s="7" t="s">
        <v>491</v>
      </c>
      <c r="AM14" s="4" t="s">
        <v>491</v>
      </c>
      <c r="AN14" s="4" t="s">
        <v>420</v>
      </c>
      <c r="AO14" s="7" t="s">
        <v>564</v>
      </c>
      <c r="AP14" s="7" t="s">
        <v>564</v>
      </c>
      <c r="AQ14" s="7" t="s">
        <v>491</v>
      </c>
      <c r="AR14" s="7" t="s">
        <v>491</v>
      </c>
      <c r="AS14" s="7" t="s">
        <v>420</v>
      </c>
      <c r="AT14" s="7" t="s">
        <v>401</v>
      </c>
      <c r="AU14" s="4" t="s">
        <v>626</v>
      </c>
      <c r="AV14" s="7" t="s">
        <v>611</v>
      </c>
      <c r="AW14" s="7" t="s">
        <v>626</v>
      </c>
      <c r="AX14" s="7" t="s">
        <v>653</v>
      </c>
      <c r="AY14" s="4" t="s">
        <v>658</v>
      </c>
      <c r="AZ14" s="4" t="s">
        <v>588</v>
      </c>
      <c r="BA14" s="7" t="s">
        <v>626</v>
      </c>
      <c r="BB14" s="7" t="s">
        <v>653</v>
      </c>
      <c r="BC14" s="4"/>
      <c r="BD14" s="4"/>
      <c r="BE14" s="4"/>
      <c r="BF14" s="4"/>
      <c r="BG14" s="4"/>
      <c r="BH14" s="4"/>
      <c r="BI14" s="4"/>
      <c r="BJ14" s="7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8" customFormat="1">
      <c r="A15" s="9"/>
      <c r="B15" s="9" t="s">
        <v>550</v>
      </c>
      <c r="C15" s="9" t="s">
        <v>575</v>
      </c>
      <c r="D15" s="7" t="s">
        <v>14</v>
      </c>
      <c r="E15" s="7" t="s">
        <v>496</v>
      </c>
      <c r="F15" s="7" t="s">
        <v>21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7"/>
      <c r="AL15" s="7"/>
      <c r="AM15" s="7"/>
      <c r="AN15" s="4" t="s">
        <v>478</v>
      </c>
      <c r="AO15" s="7" t="s">
        <v>561</v>
      </c>
      <c r="AP15" s="7" t="s">
        <v>574</v>
      </c>
      <c r="AQ15" s="7" t="s">
        <v>574</v>
      </c>
      <c r="AR15" s="7" t="s">
        <v>598</v>
      </c>
      <c r="AS15" s="7" t="s">
        <v>609</v>
      </c>
      <c r="AT15" s="34" t="s">
        <v>574</v>
      </c>
      <c r="AU15" s="4" t="s">
        <v>625</v>
      </c>
      <c r="AV15" s="4" t="s">
        <v>27</v>
      </c>
      <c r="AW15" s="4" t="s">
        <v>574</v>
      </c>
      <c r="AX15" s="7" t="s">
        <v>233</v>
      </c>
      <c r="AY15" s="4" t="s">
        <v>37</v>
      </c>
      <c r="AZ15" s="4"/>
      <c r="BA15" s="4" t="s">
        <v>625</v>
      </c>
      <c r="BB15" s="4" t="s">
        <v>625</v>
      </c>
      <c r="BC15" s="7" t="s">
        <v>576</v>
      </c>
      <c r="BD15" s="7" t="s">
        <v>598</v>
      </c>
      <c r="BE15" s="7" t="s">
        <v>302</v>
      </c>
      <c r="BF15" s="4" t="s">
        <v>561</v>
      </c>
      <c r="BG15" s="4" t="s">
        <v>574</v>
      </c>
      <c r="BH15" s="4" t="s">
        <v>598</v>
      </c>
      <c r="BI15" s="4" t="s">
        <v>574</v>
      </c>
      <c r="BJ15" s="4" t="s">
        <v>625</v>
      </c>
      <c r="BK15" s="4" t="s">
        <v>741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104" s="8" customFormat="1">
      <c r="A16" s="9" t="s">
        <v>29</v>
      </c>
      <c r="B16" s="9" t="s">
        <v>545</v>
      </c>
      <c r="C16" s="9" t="s">
        <v>48</v>
      </c>
      <c r="D16" s="7" t="s">
        <v>14</v>
      </c>
      <c r="E16" s="7" t="s">
        <v>21</v>
      </c>
      <c r="F16" s="9" t="s">
        <v>21</v>
      </c>
      <c r="G16" s="7" t="s">
        <v>25</v>
      </c>
      <c r="H16" s="7" t="s">
        <v>36</v>
      </c>
      <c r="I16" s="4" t="s">
        <v>42</v>
      </c>
      <c r="J16" s="4" t="s">
        <v>51</v>
      </c>
      <c r="K16" s="4" t="s">
        <v>51</v>
      </c>
      <c r="L16" s="4" t="s">
        <v>240</v>
      </c>
      <c r="M16" s="4" t="s">
        <v>249</v>
      </c>
      <c r="N16" s="4" t="s">
        <v>262</v>
      </c>
      <c r="O16" s="4" t="s">
        <v>271</v>
      </c>
      <c r="P16" s="4" t="s">
        <v>262</v>
      </c>
      <c r="Q16" s="4" t="s">
        <v>42</v>
      </c>
      <c r="R16" s="7" t="s">
        <v>51</v>
      </c>
      <c r="S16" s="7" t="s">
        <v>308</v>
      </c>
      <c r="T16" s="7" t="s">
        <v>315</v>
      </c>
      <c r="U16" s="7" t="s">
        <v>329</v>
      </c>
      <c r="V16" s="4" t="s">
        <v>342</v>
      </c>
      <c r="W16" s="7" t="s">
        <v>42</v>
      </c>
      <c r="X16" s="4" t="s">
        <v>51</v>
      </c>
      <c r="Y16" s="4" t="s">
        <v>262</v>
      </c>
      <c r="Z16" s="4" t="s">
        <v>342</v>
      </c>
      <c r="AA16" s="4" t="s">
        <v>42</v>
      </c>
      <c r="AB16" s="4" t="s">
        <v>406</v>
      </c>
      <c r="AC16" s="4" t="s">
        <v>415</v>
      </c>
      <c r="AD16" s="4" t="s">
        <v>42</v>
      </c>
      <c r="AE16" s="4" t="s">
        <v>342</v>
      </c>
      <c r="AF16" s="4" t="s">
        <v>308</v>
      </c>
      <c r="AG16" s="4" t="s">
        <v>249</v>
      </c>
      <c r="AH16" s="4" t="s">
        <v>459</v>
      </c>
      <c r="AI16" s="4" t="s">
        <v>474</v>
      </c>
      <c r="AJ16" s="4" t="s">
        <v>482</v>
      </c>
      <c r="AK16" s="4" t="s">
        <v>415</v>
      </c>
      <c r="AL16" s="7" t="s">
        <v>51</v>
      </c>
      <c r="AM16" s="4" t="s">
        <v>329</v>
      </c>
      <c r="AN16" s="4" t="s">
        <v>249</v>
      </c>
      <c r="AO16" s="7" t="s">
        <v>42</v>
      </c>
      <c r="AP16" s="7" t="s">
        <v>571</v>
      </c>
      <c r="AQ16" s="4" t="s">
        <v>42</v>
      </c>
      <c r="AR16" s="7" t="s">
        <v>474</v>
      </c>
      <c r="AS16" s="4" t="s">
        <v>459</v>
      </c>
      <c r="AT16" s="4" t="s">
        <v>615</v>
      </c>
      <c r="AU16" s="4" t="s">
        <v>459</v>
      </c>
      <c r="AV16" s="4" t="s">
        <v>329</v>
      </c>
      <c r="AW16" s="4" t="s">
        <v>482</v>
      </c>
      <c r="AX16" s="4" t="s">
        <v>42</v>
      </c>
      <c r="AY16" s="4" t="s">
        <v>415</v>
      </c>
      <c r="AZ16" s="4" t="s">
        <v>51</v>
      </c>
      <c r="BA16" s="4" t="s">
        <v>36</v>
      </c>
      <c r="BB16" s="4" t="s">
        <v>571</v>
      </c>
      <c r="BC16" s="4" t="s">
        <v>571</v>
      </c>
      <c r="BD16" s="4" t="s">
        <v>474</v>
      </c>
      <c r="BE16" s="7" t="s">
        <v>51</v>
      </c>
      <c r="BF16" s="4" t="s">
        <v>42</v>
      </c>
      <c r="BG16" s="4" t="s">
        <v>415</v>
      </c>
      <c r="BH16" s="4" t="s">
        <v>723</v>
      </c>
      <c r="BI16" s="4" t="s">
        <v>415</v>
      </c>
      <c r="BJ16" s="4" t="s">
        <v>329</v>
      </c>
      <c r="BK16" s="4" t="s">
        <v>379</v>
      </c>
      <c r="BL16" s="4" t="s">
        <v>25</v>
      </c>
      <c r="BM16" s="4" t="s">
        <v>415</v>
      </c>
      <c r="BN16" s="4" t="s">
        <v>415</v>
      </c>
      <c r="BO16" s="4" t="s">
        <v>308</v>
      </c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8" customFormat="1">
      <c r="A17" s="9" t="s">
        <v>325</v>
      </c>
      <c r="B17" s="9" t="s">
        <v>530</v>
      </c>
      <c r="C17" s="9" t="s">
        <v>326</v>
      </c>
      <c r="D17" s="4" t="s">
        <v>14</v>
      </c>
      <c r="E17" s="7" t="s">
        <v>496</v>
      </c>
      <c r="F17" s="6" t="s">
        <v>21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316</v>
      </c>
      <c r="U17" s="7" t="s">
        <v>327</v>
      </c>
      <c r="V17" s="4" t="s">
        <v>343</v>
      </c>
      <c r="W17" s="7" t="s">
        <v>343</v>
      </c>
      <c r="X17" s="4" t="s">
        <v>327</v>
      </c>
      <c r="Y17" s="4" t="s">
        <v>375</v>
      </c>
      <c r="Z17" s="7" t="s">
        <v>375</v>
      </c>
      <c r="AA17" s="7" t="s">
        <v>398</v>
      </c>
      <c r="AB17" s="7" t="s">
        <v>375</v>
      </c>
      <c r="AC17" s="4" t="s">
        <v>416</v>
      </c>
      <c r="AD17" s="7" t="s">
        <v>428</v>
      </c>
      <c r="AE17" s="4" t="s">
        <v>428</v>
      </c>
      <c r="AF17" s="4" t="s">
        <v>272</v>
      </c>
      <c r="AG17" s="7" t="s">
        <v>272</v>
      </c>
      <c r="AH17" s="4"/>
      <c r="AI17" s="7"/>
      <c r="AJ17" s="7"/>
      <c r="AK17" s="7"/>
      <c r="AL17" s="7"/>
      <c r="AM17" s="7" t="s">
        <v>517</v>
      </c>
      <c r="AN17" s="7" t="s">
        <v>475</v>
      </c>
      <c r="AO17" s="7" t="s">
        <v>475</v>
      </c>
      <c r="AP17" s="7" t="s">
        <v>475</v>
      </c>
      <c r="AQ17" s="7"/>
      <c r="AR17" s="7" t="s">
        <v>596</v>
      </c>
      <c r="AS17" s="7" t="s">
        <v>300</v>
      </c>
      <c r="AT17" s="7" t="s">
        <v>315</v>
      </c>
      <c r="AU17" s="4" t="s">
        <v>398</v>
      </c>
      <c r="AV17" s="7"/>
      <c r="AW17" s="7" t="s">
        <v>640</v>
      </c>
      <c r="AX17" s="7" t="s">
        <v>273</v>
      </c>
      <c r="AY17" s="7" t="s">
        <v>640</v>
      </c>
      <c r="AZ17" s="7" t="s">
        <v>596</v>
      </c>
      <c r="BA17" s="7" t="s">
        <v>273</v>
      </c>
      <c r="BB17" s="4" t="s">
        <v>475</v>
      </c>
      <c r="BC17" s="4" t="s">
        <v>475</v>
      </c>
      <c r="BD17" s="4" t="s">
        <v>475</v>
      </c>
      <c r="BE17" s="4"/>
      <c r="BF17" s="7"/>
      <c r="BG17" s="4"/>
      <c r="BH17" s="4"/>
      <c r="BI17" s="4"/>
      <c r="BJ17" s="4" t="s">
        <v>273</v>
      </c>
      <c r="BK17" s="4" t="s">
        <v>596</v>
      </c>
      <c r="BL17" s="4" t="s">
        <v>273</v>
      </c>
      <c r="BM17" s="4" t="s">
        <v>676</v>
      </c>
      <c r="BN17" s="4"/>
      <c r="BO17" s="4" t="s">
        <v>405</v>
      </c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:77">
      <c r="A18" s="36" t="s">
        <v>727</v>
      </c>
      <c r="B18" s="9" t="s">
        <v>711</v>
      </c>
      <c r="C18" s="9" t="s">
        <v>699</v>
      </c>
      <c r="D18" s="6" t="s">
        <v>34</v>
      </c>
      <c r="E18" s="6" t="s">
        <v>496</v>
      </c>
      <c r="F18" s="6" t="s">
        <v>21</v>
      </c>
      <c r="AQ18" s="6"/>
      <c r="AR18" s="6"/>
      <c r="AS18" s="6"/>
      <c r="AT18" s="6"/>
      <c r="AV18" s="6"/>
      <c r="AW18" s="6"/>
      <c r="AX18" s="6"/>
      <c r="BA18" s="6"/>
      <c r="BD18" s="1" t="s">
        <v>458</v>
      </c>
      <c r="BE18" s="6" t="s">
        <v>337</v>
      </c>
      <c r="BF18" s="6"/>
      <c r="BG18" s="6"/>
      <c r="BH18" s="6" t="s">
        <v>276</v>
      </c>
      <c r="BI18" s="1" t="s">
        <v>435</v>
      </c>
      <c r="BJ18" s="6" t="s">
        <v>677</v>
      </c>
      <c r="BK18" s="1" t="s">
        <v>624</v>
      </c>
      <c r="BL18" s="4" t="s">
        <v>745</v>
      </c>
      <c r="BM18" s="1" t="s">
        <v>266</v>
      </c>
      <c r="BN18" s="1" t="s">
        <v>677</v>
      </c>
      <c r="BO18" s="1" t="s">
        <v>233</v>
      </c>
    </row>
    <row r="19" spans="1:77" s="8" customFormat="1">
      <c r="A19" s="9" t="s">
        <v>413</v>
      </c>
      <c r="B19" s="9"/>
      <c r="C19" s="9" t="s">
        <v>418</v>
      </c>
      <c r="D19" s="7" t="s">
        <v>14</v>
      </c>
      <c r="E19" s="7" t="s">
        <v>21</v>
      </c>
      <c r="F19" s="7" t="s">
        <v>21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408</v>
      </c>
      <c r="AC19" s="4" t="s">
        <v>408</v>
      </c>
      <c r="AD19" s="4" t="s">
        <v>277</v>
      </c>
      <c r="AE19" s="4" t="s">
        <v>277</v>
      </c>
      <c r="AF19" s="4" t="s">
        <v>277</v>
      </c>
      <c r="AG19" s="4" t="s">
        <v>408</v>
      </c>
      <c r="AH19" s="4" t="s">
        <v>277</v>
      </c>
      <c r="AI19" s="7" t="s">
        <v>277</v>
      </c>
      <c r="AJ19" s="4"/>
      <c r="AK19" s="7"/>
      <c r="AL19" s="7"/>
      <c r="AM19" s="7"/>
      <c r="AN19" s="7"/>
      <c r="AO19" s="4"/>
      <c r="AP19" s="7"/>
      <c r="AQ19" s="4"/>
      <c r="AR19" s="7"/>
      <c r="AS19" s="7"/>
      <c r="AT19" s="7"/>
      <c r="AU19" s="4"/>
      <c r="AV19" s="7"/>
      <c r="AW19" s="4"/>
      <c r="AX19" s="4"/>
      <c r="AY19" s="4"/>
      <c r="AZ19" s="4"/>
      <c r="BA19" s="7"/>
      <c r="BB19" s="4"/>
      <c r="BC19" s="4"/>
      <c r="BD19" s="7"/>
      <c r="BE19" s="4"/>
      <c r="BF19" s="7"/>
      <c r="BG19" s="4"/>
      <c r="BH19" s="4"/>
      <c r="BI19" s="4"/>
      <c r="BJ19" s="7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7">
      <c r="A20" s="9"/>
      <c r="B20" s="9" t="s">
        <v>532</v>
      </c>
      <c r="C20" s="9" t="s">
        <v>412</v>
      </c>
      <c r="D20" s="7" t="s">
        <v>20</v>
      </c>
      <c r="E20" s="7" t="s">
        <v>496</v>
      </c>
      <c r="F20" s="7" t="s">
        <v>21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43</v>
      </c>
      <c r="W20" s="4"/>
      <c r="X20" s="4"/>
      <c r="Y20" s="4"/>
      <c r="Z20" s="7"/>
      <c r="AA20" s="7" t="s">
        <v>43</v>
      </c>
      <c r="AB20" s="4" t="s">
        <v>407</v>
      </c>
      <c r="AC20" s="4" t="s">
        <v>417</v>
      </c>
      <c r="AD20" s="4" t="s">
        <v>54</v>
      </c>
      <c r="AE20" s="4" t="s">
        <v>54</v>
      </c>
      <c r="AF20" s="4" t="s">
        <v>444</v>
      </c>
      <c r="AG20" s="4" t="s">
        <v>450</v>
      </c>
      <c r="AH20" s="4" t="s">
        <v>450</v>
      </c>
      <c r="AI20" s="4" t="s">
        <v>450</v>
      </c>
      <c r="AJ20" s="4" t="s">
        <v>450</v>
      </c>
      <c r="AK20" s="4" t="s">
        <v>444</v>
      </c>
      <c r="AL20" s="4" t="s">
        <v>450</v>
      </c>
      <c r="AM20" s="7" t="s">
        <v>244</v>
      </c>
      <c r="AN20" s="7" t="s">
        <v>536</v>
      </c>
      <c r="AO20" s="7" t="s">
        <v>560</v>
      </c>
      <c r="AP20" s="7" t="s">
        <v>444</v>
      </c>
      <c r="AQ20" s="4" t="s">
        <v>449</v>
      </c>
      <c r="AR20" s="4" t="s">
        <v>450</v>
      </c>
      <c r="AS20" s="7" t="s">
        <v>607</v>
      </c>
      <c r="AT20" s="7" t="s">
        <v>444</v>
      </c>
      <c r="AU20" s="4" t="s">
        <v>560</v>
      </c>
      <c r="AV20" s="7" t="s">
        <v>54</v>
      </c>
      <c r="AW20" s="7"/>
      <c r="AX20" s="7"/>
      <c r="AY20" s="4"/>
      <c r="AZ20" s="4"/>
      <c r="BA20" s="4"/>
      <c r="BB20" s="4"/>
      <c r="BC20" s="4"/>
      <c r="BD20" s="4"/>
      <c r="BE20" s="4"/>
      <c r="BF20" s="7"/>
      <c r="BG20" s="7"/>
      <c r="BH20" s="4"/>
      <c r="BI20" s="4"/>
      <c r="BJ20" s="7"/>
      <c r="BK20" s="4"/>
      <c r="BL20" s="4"/>
      <c r="BM20" s="4"/>
      <c r="BN20" s="4"/>
      <c r="BO20" s="4"/>
    </row>
    <row r="21" spans="1:77" s="8" customFormat="1">
      <c r="A21" s="9" t="s">
        <v>601</v>
      </c>
      <c r="B21" s="9" t="s">
        <v>569</v>
      </c>
      <c r="C21" s="9" t="s">
        <v>582</v>
      </c>
      <c r="D21" s="7" t="s">
        <v>15</v>
      </c>
      <c r="E21" s="7" t="s">
        <v>496</v>
      </c>
      <c r="F21" s="7" t="s">
        <v>21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7"/>
      <c r="AM21" s="4"/>
      <c r="AN21" s="4"/>
      <c r="AO21" s="4"/>
      <c r="AP21" s="35" t="s">
        <v>248</v>
      </c>
      <c r="AQ21" s="4" t="s">
        <v>586</v>
      </c>
      <c r="AR21" s="4" t="s">
        <v>248</v>
      </c>
      <c r="AS21" s="4" t="s">
        <v>391</v>
      </c>
      <c r="AT21" s="7" t="s">
        <v>248</v>
      </c>
      <c r="AU21" s="4" t="s">
        <v>239</v>
      </c>
      <c r="AV21" s="7" t="s">
        <v>248</v>
      </c>
      <c r="AW21" s="4" t="s">
        <v>248</v>
      </c>
      <c r="AX21" s="4" t="s">
        <v>238</v>
      </c>
      <c r="AY21" s="4" t="s">
        <v>238</v>
      </c>
      <c r="AZ21" s="4" t="s">
        <v>239</v>
      </c>
      <c r="BA21" s="4" t="s">
        <v>239</v>
      </c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:77" s="8" customFormat="1">
      <c r="A22" s="9" t="s">
        <v>603</v>
      </c>
      <c r="B22" s="9" t="s">
        <v>503</v>
      </c>
      <c r="C22" s="9" t="s">
        <v>619</v>
      </c>
      <c r="D22" s="7" t="s">
        <v>16</v>
      </c>
      <c r="E22" s="7" t="s">
        <v>496</v>
      </c>
      <c r="F22" s="7" t="s">
        <v>21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 t="s">
        <v>277</v>
      </c>
      <c r="AK22" s="4" t="s">
        <v>277</v>
      </c>
      <c r="AL22" s="7" t="s">
        <v>506</v>
      </c>
      <c r="AM22" s="4" t="s">
        <v>518</v>
      </c>
      <c r="AN22" s="7" t="s">
        <v>518</v>
      </c>
      <c r="AO22" s="7" t="s">
        <v>518</v>
      </c>
      <c r="AP22" s="7" t="s">
        <v>518</v>
      </c>
      <c r="AQ22" s="4" t="s">
        <v>277</v>
      </c>
      <c r="AR22" s="4" t="s">
        <v>277</v>
      </c>
      <c r="AS22" s="7" t="s">
        <v>611</v>
      </c>
      <c r="AT22" s="4" t="s">
        <v>277</v>
      </c>
      <c r="AU22" s="4" t="s">
        <v>518</v>
      </c>
      <c r="AV22" s="4"/>
      <c r="AW22" s="7"/>
      <c r="AX22" s="7"/>
      <c r="AY22" s="4"/>
      <c r="AZ22" s="4"/>
      <c r="BA22" s="7"/>
      <c r="BB22" s="4" t="s">
        <v>664</v>
      </c>
      <c r="BC22" s="7" t="s">
        <v>518</v>
      </c>
      <c r="BD22" s="4" t="s">
        <v>277</v>
      </c>
      <c r="BE22" s="7" t="s">
        <v>518</v>
      </c>
      <c r="BF22" s="7" t="s">
        <v>277</v>
      </c>
      <c r="BG22" s="7" t="s">
        <v>506</v>
      </c>
      <c r="BH22" s="4" t="s">
        <v>277</v>
      </c>
      <c r="BI22" s="1" t="s">
        <v>518</v>
      </c>
      <c r="BJ22" s="7" t="s">
        <v>733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8" customFormat="1">
      <c r="A23" s="9" t="s">
        <v>355</v>
      </c>
      <c r="B23" s="9" t="s">
        <v>567</v>
      </c>
      <c r="C23" s="9" t="s">
        <v>510</v>
      </c>
      <c r="D23" s="7" t="s">
        <v>14</v>
      </c>
      <c r="E23" s="7" t="s">
        <v>21</v>
      </c>
      <c r="F23" s="7" t="s">
        <v>21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7" t="s">
        <v>47</v>
      </c>
      <c r="W23" s="7" t="s">
        <v>47</v>
      </c>
      <c r="X23" s="4" t="s">
        <v>47</v>
      </c>
      <c r="Y23" s="4" t="s">
        <v>47</v>
      </c>
      <c r="Z23" s="7"/>
      <c r="AA23" s="7" t="s">
        <v>47</v>
      </c>
      <c r="AB23" s="4"/>
      <c r="AC23" s="4"/>
      <c r="AD23" s="7" t="s">
        <v>47</v>
      </c>
      <c r="AE23" s="4"/>
      <c r="AF23" s="4" t="s">
        <v>47</v>
      </c>
      <c r="AG23" s="4"/>
      <c r="AH23" s="7" t="s">
        <v>469</v>
      </c>
      <c r="AI23" s="7" t="s">
        <v>47</v>
      </c>
      <c r="AJ23" s="4"/>
      <c r="AK23" s="4" t="s">
        <v>495</v>
      </c>
      <c r="AL23" s="4" t="s">
        <v>469</v>
      </c>
      <c r="AM23" s="7" t="s">
        <v>495</v>
      </c>
      <c r="AN23" s="7" t="s">
        <v>495</v>
      </c>
      <c r="AO23" s="7"/>
      <c r="AP23" s="7"/>
      <c r="AQ23" s="7"/>
      <c r="AR23" s="7"/>
      <c r="AS23" s="7"/>
      <c r="AT23" s="7"/>
      <c r="AU23" s="34"/>
      <c r="AV23" s="34"/>
      <c r="AW23" s="7"/>
      <c r="AX23" s="7"/>
      <c r="AY23" s="7"/>
      <c r="AZ23" s="7"/>
      <c r="BA23" s="7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:77" s="8" customFormat="1">
      <c r="A24" s="9" t="s">
        <v>340</v>
      </c>
      <c r="B24" s="9" t="s">
        <v>500</v>
      </c>
      <c r="C24" s="9" t="s">
        <v>583</v>
      </c>
      <c r="D24" s="7" t="s">
        <v>14</v>
      </c>
      <c r="E24" s="7" t="s">
        <v>496</v>
      </c>
      <c r="F24" s="7" t="s">
        <v>21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7" t="s">
        <v>339</v>
      </c>
      <c r="W24" s="7" t="s">
        <v>351</v>
      </c>
      <c r="X24" s="4" t="s">
        <v>339</v>
      </c>
      <c r="Y24" s="4" t="s">
        <v>372</v>
      </c>
      <c r="Z24" s="7" t="s">
        <v>390</v>
      </c>
      <c r="AA24" s="7" t="s">
        <v>339</v>
      </c>
      <c r="AB24" s="7" t="s">
        <v>351</v>
      </c>
      <c r="AC24" s="4" t="s">
        <v>351</v>
      </c>
      <c r="AD24" s="7" t="s">
        <v>372</v>
      </c>
      <c r="AE24" s="7" t="s">
        <v>35</v>
      </c>
      <c r="AF24" s="4" t="s">
        <v>339</v>
      </c>
      <c r="AG24" s="7" t="s">
        <v>448</v>
      </c>
      <c r="AH24" s="4" t="s">
        <v>339</v>
      </c>
      <c r="AI24" s="7" t="s">
        <v>473</v>
      </c>
      <c r="AJ24" s="7" t="s">
        <v>473</v>
      </c>
      <c r="AK24" s="7" t="s">
        <v>488</v>
      </c>
      <c r="AL24" s="7" t="s">
        <v>339</v>
      </c>
      <c r="AM24" s="7" t="s">
        <v>339</v>
      </c>
      <c r="AN24" s="7" t="s">
        <v>534</v>
      </c>
      <c r="AO24" s="7" t="s">
        <v>557</v>
      </c>
      <c r="AP24" s="7" t="s">
        <v>557</v>
      </c>
      <c r="AQ24" s="7" t="s">
        <v>372</v>
      </c>
      <c r="AR24" s="7" t="s">
        <v>372</v>
      </c>
      <c r="AS24" s="7" t="s">
        <v>604</v>
      </c>
      <c r="AT24" s="7" t="s">
        <v>557</v>
      </c>
      <c r="AU24" s="4" t="s">
        <v>339</v>
      </c>
      <c r="AV24" s="7" t="s">
        <v>534</v>
      </c>
      <c r="AW24" s="7" t="s">
        <v>638</v>
      </c>
      <c r="AX24" s="7" t="s">
        <v>648</v>
      </c>
      <c r="AY24" s="7" t="s">
        <v>339</v>
      </c>
      <c r="AZ24" s="7" t="s">
        <v>339</v>
      </c>
      <c r="BA24" s="7" t="s">
        <v>339</v>
      </c>
      <c r="BB24" s="7" t="s">
        <v>339</v>
      </c>
      <c r="BC24" s="4" t="s">
        <v>557</v>
      </c>
      <c r="BD24" s="7" t="s">
        <v>690</v>
      </c>
      <c r="BE24" s="7" t="s">
        <v>701</v>
      </c>
      <c r="BF24" s="4" t="s">
        <v>448</v>
      </c>
      <c r="BG24" s="4" t="s">
        <v>713</v>
      </c>
      <c r="BH24" s="4" t="s">
        <v>721</v>
      </c>
      <c r="BI24" s="4" t="s">
        <v>728</v>
      </c>
      <c r="BJ24" s="7" t="s">
        <v>721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8" customFormat="1">
      <c r="A25" s="9"/>
      <c r="B25" s="9" t="s">
        <v>553</v>
      </c>
      <c r="C25" s="9" t="s">
        <v>338</v>
      </c>
      <c r="D25" s="7" t="s">
        <v>20</v>
      </c>
      <c r="E25" s="7" t="s">
        <v>496</v>
      </c>
      <c r="F25" s="6" t="s">
        <v>21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4" t="s">
        <v>23</v>
      </c>
      <c r="T25" s="7" t="s">
        <v>312</v>
      </c>
      <c r="U25" s="7" t="s">
        <v>23</v>
      </c>
      <c r="V25" s="7" t="s">
        <v>23</v>
      </c>
      <c r="W25" s="7" t="s">
        <v>23</v>
      </c>
      <c r="X25" s="7"/>
      <c r="Y25" s="4" t="s">
        <v>23</v>
      </c>
      <c r="Z25" s="7" t="s">
        <v>23</v>
      </c>
      <c r="AA25" s="7" t="s">
        <v>23</v>
      </c>
      <c r="AB25" s="7" t="s">
        <v>404</v>
      </c>
      <c r="AC25" s="4" t="s">
        <v>414</v>
      </c>
      <c r="AD25" s="7" t="s">
        <v>23</v>
      </c>
      <c r="AE25" s="7" t="s">
        <v>23</v>
      </c>
      <c r="AF25" s="4" t="s">
        <v>23</v>
      </c>
      <c r="AG25" s="7" t="s">
        <v>23</v>
      </c>
      <c r="AH25" s="7" t="s">
        <v>456</v>
      </c>
      <c r="AI25" s="7" t="s">
        <v>472</v>
      </c>
      <c r="AJ25" s="7" t="s">
        <v>481</v>
      </c>
      <c r="AK25" s="7" t="s">
        <v>487</v>
      </c>
      <c r="AL25" s="7" t="s">
        <v>504</v>
      </c>
      <c r="AM25" s="7" t="s">
        <v>472</v>
      </c>
      <c r="AN25" s="7" t="s">
        <v>472</v>
      </c>
      <c r="AO25" s="7" t="s">
        <v>556</v>
      </c>
      <c r="AP25" s="7" t="s">
        <v>23</v>
      </c>
      <c r="AQ25" s="7" t="s">
        <v>585</v>
      </c>
      <c r="AR25" s="7" t="s">
        <v>594</v>
      </c>
      <c r="AS25" s="7" t="s">
        <v>414</v>
      </c>
      <c r="AT25" s="7" t="s">
        <v>414</v>
      </c>
      <c r="AU25" s="4" t="s">
        <v>414</v>
      </c>
      <c r="AV25" s="4" t="s">
        <v>594</v>
      </c>
      <c r="AW25" s="4"/>
      <c r="AX25" s="4" t="s">
        <v>647</v>
      </c>
      <c r="AY25" s="4" t="s">
        <v>23</v>
      </c>
      <c r="AZ25" s="7" t="s">
        <v>472</v>
      </c>
      <c r="BA25" s="4" t="s">
        <v>23</v>
      </c>
      <c r="BB25" s="4" t="s">
        <v>23</v>
      </c>
      <c r="BC25" s="4" t="s">
        <v>684</v>
      </c>
      <c r="BD25" s="4" t="s">
        <v>556</v>
      </c>
      <c r="BE25" s="7" t="s">
        <v>414</v>
      </c>
      <c r="BF25" s="4" t="s">
        <v>414</v>
      </c>
      <c r="BG25" s="4" t="s">
        <v>414</v>
      </c>
      <c r="BH25" s="4" t="s">
        <v>719</v>
      </c>
      <c r="BI25" s="4" t="s">
        <v>585</v>
      </c>
      <c r="BJ25" s="4" t="s">
        <v>731</v>
      </c>
      <c r="BK25" s="4" t="s">
        <v>23</v>
      </c>
      <c r="BL25" s="4" t="s">
        <v>556</v>
      </c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:77" s="8" customFormat="1">
      <c r="A26" s="9"/>
      <c r="B26" s="13"/>
      <c r="C26" s="9" t="s">
        <v>284</v>
      </c>
      <c r="D26" s="7" t="s">
        <v>14</v>
      </c>
      <c r="E26" s="7" t="s">
        <v>21</v>
      </c>
      <c r="F26" s="9" t="s">
        <v>21</v>
      </c>
      <c r="G26" s="4"/>
      <c r="H26" s="4"/>
      <c r="I26" s="4" t="s">
        <v>43</v>
      </c>
      <c r="J26" s="4" t="s">
        <v>43</v>
      </c>
      <c r="K26" s="34"/>
      <c r="L26" s="4"/>
      <c r="M26" s="4" t="s">
        <v>251</v>
      </c>
      <c r="N26" s="7" t="s">
        <v>265</v>
      </c>
      <c r="O26" s="4" t="s">
        <v>273</v>
      </c>
      <c r="P26" s="4" t="s">
        <v>273</v>
      </c>
      <c r="Q26" s="4" t="s">
        <v>273</v>
      </c>
      <c r="R26" s="7" t="s">
        <v>300</v>
      </c>
      <c r="S26" s="7" t="s">
        <v>309</v>
      </c>
      <c r="T26" s="7" t="s">
        <v>265</v>
      </c>
      <c r="U26" s="7" t="s">
        <v>309</v>
      </c>
      <c r="V26" s="7" t="s">
        <v>300</v>
      </c>
      <c r="W26" s="7" t="s">
        <v>251</v>
      </c>
      <c r="X26" s="7" t="s">
        <v>300</v>
      </c>
      <c r="Y26" s="4" t="s">
        <v>300</v>
      </c>
      <c r="Z26" s="7" t="s">
        <v>300</v>
      </c>
      <c r="AA26" s="7" t="s">
        <v>300</v>
      </c>
      <c r="AB26" s="4" t="s">
        <v>405</v>
      </c>
      <c r="AC26" s="4" t="s">
        <v>309</v>
      </c>
      <c r="AD26" s="4" t="s">
        <v>405</v>
      </c>
      <c r="AE26" s="4" t="s">
        <v>300</v>
      </c>
      <c r="AF26" s="4" t="s">
        <v>300</v>
      </c>
      <c r="AG26" s="4" t="s">
        <v>300</v>
      </c>
      <c r="AH26" s="4" t="s">
        <v>405</v>
      </c>
      <c r="AI26" s="4"/>
      <c r="AJ26" s="4"/>
      <c r="AK26" s="4"/>
      <c r="AL26" s="7"/>
      <c r="AM26" s="4"/>
      <c r="AN26" s="7"/>
      <c r="AO26" s="7"/>
      <c r="AP26" s="7"/>
      <c r="AQ26" s="7"/>
      <c r="AR26" s="7"/>
      <c r="AS26" s="7"/>
      <c r="AT26" s="7"/>
      <c r="AU26" s="4"/>
      <c r="AV26" s="7"/>
      <c r="AW26" s="7"/>
      <c r="AX26" s="7"/>
      <c r="AY26" s="7"/>
      <c r="AZ26" s="7"/>
      <c r="BA26" s="7"/>
      <c r="BB26" s="4"/>
      <c r="BC26" s="4"/>
      <c r="BD26" s="7"/>
      <c r="BE26" s="4"/>
      <c r="BF26" s="7"/>
      <c r="BG26" s="4"/>
      <c r="BH26" s="4"/>
      <c r="BI26" s="4"/>
      <c r="BJ26" s="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8" customFormat="1">
      <c r="B27" s="9" t="s">
        <v>669</v>
      </c>
      <c r="C27" s="9" t="s">
        <v>671</v>
      </c>
      <c r="D27" s="7" t="s">
        <v>14</v>
      </c>
      <c r="E27" s="7" t="s">
        <v>496</v>
      </c>
      <c r="F27" s="7" t="s">
        <v>21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6"/>
      <c r="AP27" s="1"/>
      <c r="AQ27" s="6"/>
      <c r="AR27" s="6"/>
      <c r="AS27" s="6"/>
      <c r="AT27" s="6"/>
      <c r="AU27" s="1"/>
      <c r="AV27" s="1"/>
      <c r="AW27" s="6" t="s">
        <v>422</v>
      </c>
      <c r="AX27" s="6" t="s">
        <v>293</v>
      </c>
      <c r="AY27" s="1" t="s">
        <v>385</v>
      </c>
      <c r="AZ27" s="1" t="s">
        <v>320</v>
      </c>
      <c r="BA27" s="6" t="s">
        <v>385</v>
      </c>
      <c r="BB27" s="1" t="s">
        <v>681</v>
      </c>
      <c r="BC27" s="6" t="s">
        <v>348</v>
      </c>
      <c r="BD27" s="1" t="s">
        <v>298</v>
      </c>
      <c r="BE27" s="6" t="s">
        <v>348</v>
      </c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:77">
      <c r="A28" s="9"/>
      <c r="B28" s="9"/>
      <c r="C28" s="9" t="s">
        <v>283</v>
      </c>
      <c r="D28" s="7" t="s">
        <v>14</v>
      </c>
      <c r="E28" s="7" t="s">
        <v>21</v>
      </c>
      <c r="F28" s="6" t="s">
        <v>21</v>
      </c>
      <c r="G28" s="4"/>
      <c r="H28" s="4"/>
      <c r="I28" s="4"/>
      <c r="J28" s="4"/>
      <c r="K28" s="4"/>
      <c r="L28" s="4"/>
      <c r="M28" s="4"/>
      <c r="N28" s="4"/>
      <c r="O28" s="4" t="s">
        <v>23</v>
      </c>
      <c r="P28" s="4"/>
      <c r="Q28" s="7"/>
      <c r="R28" s="7"/>
      <c r="S28" s="7"/>
      <c r="T28" s="7"/>
      <c r="U28" s="7"/>
      <c r="V28" s="7"/>
      <c r="W28" s="7"/>
      <c r="X28" s="4"/>
      <c r="Y28" s="4"/>
      <c r="Z28" s="7"/>
      <c r="AA28" s="7"/>
      <c r="AB28" s="7"/>
      <c r="AC28" s="4"/>
      <c r="AD28" s="7"/>
      <c r="AE28" s="7"/>
      <c r="AF28" s="4"/>
      <c r="AG28" s="4"/>
      <c r="AH28" s="7"/>
      <c r="AI28" s="7"/>
      <c r="AJ28" s="4"/>
      <c r="AK28" s="7"/>
      <c r="AL28" s="7"/>
      <c r="AM28" s="7"/>
      <c r="AN28" s="7"/>
      <c r="AO28" s="7"/>
      <c r="AP28" s="7"/>
      <c r="AQ28" s="7"/>
      <c r="AR28" s="7"/>
      <c r="AS28" s="4"/>
      <c r="AT28" s="7"/>
      <c r="AU28" s="4"/>
      <c r="AV28" s="7"/>
      <c r="AW28" s="7"/>
      <c r="AX28" s="7"/>
      <c r="AY28" s="4"/>
      <c r="AZ28" s="4"/>
      <c r="BA28" s="4"/>
      <c r="BB28" s="4"/>
      <c r="BC28" s="4"/>
      <c r="BD28" s="4"/>
      <c r="BE28" s="4"/>
      <c r="BF28" s="7"/>
      <c r="BG28" s="7"/>
      <c r="BH28" s="7"/>
      <c r="BI28" s="4"/>
      <c r="BJ28" s="7"/>
      <c r="BK28" s="4"/>
      <c r="BL28" s="4"/>
      <c r="BM28" s="4"/>
      <c r="BN28" s="4"/>
      <c r="BO28" s="4"/>
    </row>
    <row r="29" spans="1:77">
      <c r="B29" s="9"/>
      <c r="C29" s="9" t="s">
        <v>387</v>
      </c>
      <c r="D29" s="7" t="s">
        <v>14</v>
      </c>
      <c r="E29" s="7" t="s">
        <v>21</v>
      </c>
      <c r="F29" s="6" t="s">
        <v>21</v>
      </c>
      <c r="P29" s="1" t="s">
        <v>23</v>
      </c>
      <c r="Q29" s="1" t="s">
        <v>272</v>
      </c>
      <c r="R29" s="1" t="s">
        <v>23</v>
      </c>
      <c r="U29" s="6"/>
    </row>
    <row r="30" spans="1:77">
      <c r="A30" s="9"/>
      <c r="B30" s="8"/>
      <c r="C30" s="9" t="s">
        <v>33</v>
      </c>
      <c r="D30" s="7" t="s">
        <v>14</v>
      </c>
      <c r="E30" s="7" t="s">
        <v>21</v>
      </c>
      <c r="F30" s="9" t="s">
        <v>21</v>
      </c>
      <c r="G30" s="7" t="s">
        <v>23</v>
      </c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7"/>
      <c r="T30" s="7"/>
      <c r="U30" s="7"/>
      <c r="V30" s="7"/>
      <c r="W30" s="4"/>
      <c r="X30" s="7"/>
      <c r="Y30" s="4"/>
      <c r="Z30" s="7"/>
      <c r="AA30" s="7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7"/>
      <c r="AM30" s="4"/>
      <c r="AN30" s="4"/>
      <c r="AO30" s="7"/>
      <c r="AP30" s="7"/>
      <c r="AQ30" s="7"/>
      <c r="AR30" s="7"/>
      <c r="AS30" s="7"/>
      <c r="AT30" s="7"/>
      <c r="AU30" s="4"/>
      <c r="AV30" s="7"/>
      <c r="AW30" s="7"/>
      <c r="AX30" s="7"/>
      <c r="AY30" s="4"/>
      <c r="AZ30" s="4"/>
      <c r="BA30" s="7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</row>
    <row r="31" spans="1:77" s="8" customFormat="1">
      <c r="A31" s="9"/>
      <c r="B31" s="9"/>
      <c r="C31" s="9" t="s">
        <v>258</v>
      </c>
      <c r="D31" s="7" t="s">
        <v>20</v>
      </c>
      <c r="E31" s="6" t="s">
        <v>21</v>
      </c>
      <c r="F31" s="6" t="s">
        <v>21</v>
      </c>
      <c r="G31" s="4"/>
      <c r="H31" s="4"/>
      <c r="I31" s="4"/>
      <c r="J31" s="4"/>
      <c r="K31" s="4"/>
      <c r="L31" s="4"/>
      <c r="M31" s="4" t="s">
        <v>43</v>
      </c>
      <c r="N31" s="7"/>
      <c r="O31" s="4"/>
      <c r="P31" s="4"/>
      <c r="Q31" s="7"/>
      <c r="R31" s="7"/>
      <c r="S31" s="7"/>
      <c r="T31" s="7"/>
      <c r="U31" s="7"/>
      <c r="V31" s="4"/>
      <c r="W31" s="7"/>
      <c r="X31" s="7"/>
      <c r="Y31" s="7"/>
      <c r="Z31" s="7"/>
      <c r="AA31" s="7"/>
      <c r="AB31" s="7"/>
      <c r="AC31" s="4"/>
      <c r="AD31" s="7"/>
      <c r="AE31" s="7"/>
      <c r="AF31" s="4"/>
      <c r="AG31" s="7"/>
      <c r="AH31" s="7"/>
      <c r="AI31" s="7"/>
      <c r="AJ31" s="7"/>
      <c r="AK31" s="7"/>
      <c r="AL31" s="7"/>
      <c r="AM31" s="4"/>
      <c r="AN31" s="7"/>
      <c r="AO31" s="4"/>
      <c r="AP31" s="4"/>
      <c r="AQ31" s="7"/>
      <c r="AR31" s="7"/>
      <c r="AS31" s="7"/>
      <c r="AT31" s="7"/>
      <c r="AU31" s="4"/>
      <c r="AV31" s="7"/>
      <c r="AW31" s="7"/>
      <c r="AX31" s="4"/>
      <c r="AY31" s="4"/>
      <c r="AZ31" s="4"/>
      <c r="BA31" s="4"/>
      <c r="BB31" s="4"/>
      <c r="BC31" s="4"/>
      <c r="BD31" s="4"/>
      <c r="BE31" s="4"/>
      <c r="BF31" s="7"/>
      <c r="BG31" s="7"/>
      <c r="BH31" s="7"/>
      <c r="BI31" s="4"/>
      <c r="BJ31" s="7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</row>
    <row r="32" spans="1:77" s="8" customFormat="1">
      <c r="B32" s="9" t="s">
        <v>710</v>
      </c>
      <c r="C32" s="9" t="s">
        <v>700</v>
      </c>
      <c r="D32" s="7" t="s">
        <v>14</v>
      </c>
      <c r="E32" s="7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6"/>
      <c r="AS32" s="1"/>
      <c r="AT32" s="6"/>
      <c r="AU32" s="1"/>
      <c r="AV32" s="1"/>
      <c r="AW32" s="6"/>
      <c r="AX32" s="1"/>
      <c r="AY32" s="1"/>
      <c r="AZ32" s="1"/>
      <c r="BA32" s="6"/>
      <c r="BB32" s="1"/>
      <c r="BC32" s="1"/>
      <c r="BD32" s="1" t="s">
        <v>43</v>
      </c>
      <c r="BE32" s="6" t="s">
        <v>596</v>
      </c>
      <c r="BF32" s="1" t="s">
        <v>405</v>
      </c>
      <c r="BG32" s="1" t="s">
        <v>405</v>
      </c>
      <c r="BH32" s="1" t="s">
        <v>405</v>
      </c>
      <c r="BI32" s="1" t="s">
        <v>405</v>
      </c>
      <c r="BJ32" s="1"/>
      <c r="BK32" s="1"/>
      <c r="BL32" s="1"/>
      <c r="BM32" s="1"/>
      <c r="BN32" s="1"/>
      <c r="BO32" s="1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8" customFormat="1">
      <c r="A33" s="8" t="s">
        <v>38</v>
      </c>
      <c r="B33" s="9" t="s">
        <v>514</v>
      </c>
      <c r="C33" s="9" t="s">
        <v>324</v>
      </c>
      <c r="D33" s="7" t="s">
        <v>14</v>
      </c>
      <c r="E33" s="7" t="s">
        <v>21</v>
      </c>
      <c r="F33" s="9" t="s">
        <v>21</v>
      </c>
      <c r="G33" s="1"/>
      <c r="H33" s="1" t="s">
        <v>37</v>
      </c>
      <c r="I33" s="1" t="s">
        <v>44</v>
      </c>
      <c r="J33" s="6" t="s">
        <v>53</v>
      </c>
      <c r="K33" s="4" t="s">
        <v>233</v>
      </c>
      <c r="L33" s="1" t="s">
        <v>244</v>
      </c>
      <c r="M33" s="6" t="s">
        <v>252</v>
      </c>
      <c r="N33" s="1" t="s">
        <v>266</v>
      </c>
      <c r="O33" s="1" t="s">
        <v>276</v>
      </c>
      <c r="P33" s="1" t="s">
        <v>266</v>
      </c>
      <c r="Q33" s="6" t="s">
        <v>233</v>
      </c>
      <c r="R33" s="6" t="s">
        <v>302</v>
      </c>
      <c r="S33" s="6" t="s">
        <v>302</v>
      </c>
      <c r="T33" s="6" t="s">
        <v>37</v>
      </c>
      <c r="U33" s="6" t="s">
        <v>333</v>
      </c>
      <c r="V33" s="6" t="s">
        <v>347</v>
      </c>
      <c r="W33" s="6" t="s">
        <v>353</v>
      </c>
      <c r="X33" s="6" t="s">
        <v>353</v>
      </c>
      <c r="Y33" s="6" t="s">
        <v>382</v>
      </c>
      <c r="Z33" s="6" t="s">
        <v>302</v>
      </c>
      <c r="AA33" s="6" t="s">
        <v>400</v>
      </c>
      <c r="AB33" s="1" t="s">
        <v>382</v>
      </c>
      <c r="AC33" s="1" t="s">
        <v>353</v>
      </c>
      <c r="AD33" s="1" t="s">
        <v>266</v>
      </c>
      <c r="AE33" s="6" t="s">
        <v>436</v>
      </c>
      <c r="AF33" s="1" t="s">
        <v>233</v>
      </c>
      <c r="AG33" s="1" t="s">
        <v>233</v>
      </c>
      <c r="AH33" s="6" t="s">
        <v>462</v>
      </c>
      <c r="AI33" s="6" t="s">
        <v>478</v>
      </c>
      <c r="AJ33" s="1" t="s">
        <v>478</v>
      </c>
      <c r="AK33" s="1" t="s">
        <v>462</v>
      </c>
      <c r="AL33" s="6" t="s">
        <v>382</v>
      </c>
      <c r="AM33" s="6" t="s">
        <v>37</v>
      </c>
      <c r="AN33" s="6"/>
      <c r="AO33" s="1"/>
      <c r="AP33" s="6"/>
      <c r="AQ33" s="1"/>
      <c r="AR33" s="1"/>
      <c r="AS33" s="1"/>
      <c r="AT33" s="6"/>
      <c r="AU33" s="1"/>
      <c r="AV33" s="6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"/>
      <c r="BQ33" s="4"/>
      <c r="BR33" s="4"/>
      <c r="BS33" s="4"/>
      <c r="BT33" s="4"/>
      <c r="BU33" s="4"/>
      <c r="BV33" s="4"/>
      <c r="BW33" s="4"/>
      <c r="BX33" s="4"/>
      <c r="BY33" s="4"/>
    </row>
    <row r="34" spans="1:77" s="8" customFormat="1">
      <c r="A34" s="9"/>
      <c r="B34" s="9" t="s">
        <v>546</v>
      </c>
      <c r="C34" s="9" t="s">
        <v>606</v>
      </c>
      <c r="D34" s="7" t="s">
        <v>14</v>
      </c>
      <c r="E34" s="7" t="s">
        <v>496</v>
      </c>
      <c r="F34" s="7" t="s">
        <v>21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7"/>
      <c r="AJ34" s="7"/>
      <c r="AK34" s="4"/>
      <c r="AL34" s="7"/>
      <c r="AM34" s="7"/>
      <c r="AN34" s="7" t="s">
        <v>429</v>
      </c>
      <c r="AO34" s="7" t="s">
        <v>559</v>
      </c>
      <c r="AP34" s="7" t="s">
        <v>573</v>
      </c>
      <c r="AQ34" s="4" t="s">
        <v>310</v>
      </c>
      <c r="AR34" s="4" t="s">
        <v>573</v>
      </c>
      <c r="AS34" s="4" t="s">
        <v>535</v>
      </c>
      <c r="AT34" s="7" t="s">
        <v>352</v>
      </c>
      <c r="AU34" s="4" t="s">
        <v>328</v>
      </c>
      <c r="AV34" s="4"/>
      <c r="AW34" s="7"/>
      <c r="AX34" s="4"/>
      <c r="AY34" s="4"/>
      <c r="AZ34" s="4"/>
      <c r="BA34" s="7"/>
      <c r="BB34" s="4"/>
      <c r="BC34" s="4"/>
      <c r="BD34" s="7"/>
      <c r="BE34" s="4"/>
      <c r="BF34" s="7"/>
      <c r="BG34" s="4"/>
      <c r="BH34" s="4"/>
      <c r="BI34" s="4" t="s">
        <v>272</v>
      </c>
      <c r="BJ34" s="4"/>
      <c r="BK34" s="4"/>
      <c r="BL34" s="7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8" customFormat="1">
      <c r="B35" s="9" t="s">
        <v>531</v>
      </c>
      <c r="C35" s="9" t="s">
        <v>322</v>
      </c>
      <c r="D35" s="7" t="s">
        <v>16</v>
      </c>
      <c r="E35" s="7" t="s">
        <v>496</v>
      </c>
      <c r="F35" s="6" t="s">
        <v>21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317</v>
      </c>
      <c r="U35" s="7" t="s">
        <v>328</v>
      </c>
      <c r="V35" s="4" t="s">
        <v>346</v>
      </c>
      <c r="W35" s="7" t="s">
        <v>352</v>
      </c>
      <c r="X35" s="4" t="s">
        <v>359</v>
      </c>
      <c r="Y35" s="4" t="s">
        <v>346</v>
      </c>
      <c r="Z35" s="7" t="s">
        <v>346</v>
      </c>
      <c r="AA35" s="7" t="s">
        <v>317</v>
      </c>
      <c r="AB35" s="7" t="s">
        <v>359</v>
      </c>
      <c r="AC35" s="4" t="s">
        <v>241</v>
      </c>
      <c r="AD35" s="7" t="s">
        <v>429</v>
      </c>
      <c r="AE35" s="7" t="s">
        <v>434</v>
      </c>
      <c r="AF35" s="4" t="s">
        <v>241</v>
      </c>
      <c r="AG35" s="4" t="s">
        <v>274</v>
      </c>
      <c r="AH35" s="4" t="s">
        <v>359</v>
      </c>
      <c r="AI35" s="4" t="s">
        <v>476</v>
      </c>
      <c r="AJ35" s="7" t="s">
        <v>52</v>
      </c>
      <c r="AK35" s="4" t="s">
        <v>52</v>
      </c>
      <c r="AL35" s="7" t="s">
        <v>352</v>
      </c>
      <c r="AM35" s="4" t="s">
        <v>52</v>
      </c>
      <c r="AN35" s="4" t="s">
        <v>535</v>
      </c>
      <c r="AO35" s="7" t="s">
        <v>535</v>
      </c>
      <c r="AP35" s="4"/>
      <c r="AQ35" s="4"/>
      <c r="AR35" s="7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</row>
    <row r="36" spans="1:77" s="8" customFormat="1">
      <c r="B36" s="9" t="s">
        <v>554</v>
      </c>
      <c r="C36" s="9" t="s">
        <v>471</v>
      </c>
      <c r="D36" s="7" t="s">
        <v>20</v>
      </c>
      <c r="E36" s="6" t="s">
        <v>21</v>
      </c>
      <c r="F36" s="6" t="s">
        <v>21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 t="s">
        <v>426</v>
      </c>
      <c r="AE36" s="4" t="s">
        <v>43</v>
      </c>
      <c r="AF36" s="4" t="s">
        <v>43</v>
      </c>
      <c r="AG36" s="7" t="s">
        <v>43</v>
      </c>
      <c r="AH36" s="4" t="s">
        <v>43</v>
      </c>
      <c r="AI36" s="4" t="s">
        <v>43</v>
      </c>
      <c r="AJ36" s="4" t="s">
        <v>43</v>
      </c>
      <c r="AK36" s="4" t="s">
        <v>43</v>
      </c>
      <c r="AL36" s="7" t="s">
        <v>43</v>
      </c>
      <c r="AM36" s="7" t="s">
        <v>272</v>
      </c>
      <c r="AN36" s="7" t="s">
        <v>533</v>
      </c>
      <c r="AO36" s="4"/>
      <c r="AP36" s="7" t="s">
        <v>43</v>
      </c>
      <c r="AQ36" s="7"/>
      <c r="AR36" s="7" t="s">
        <v>43</v>
      </c>
      <c r="AS36" s="7" t="s">
        <v>43</v>
      </c>
      <c r="AT36" s="7" t="s">
        <v>476</v>
      </c>
      <c r="AU36" s="4" t="s">
        <v>573</v>
      </c>
      <c r="AV36" s="7" t="s">
        <v>52</v>
      </c>
      <c r="AW36" s="7" t="s">
        <v>642</v>
      </c>
      <c r="AX36" s="7" t="s">
        <v>434</v>
      </c>
      <c r="AY36" s="4" t="s">
        <v>274</v>
      </c>
      <c r="AZ36" s="4" t="s">
        <v>442</v>
      </c>
      <c r="BA36" s="4" t="s">
        <v>291</v>
      </c>
      <c r="BB36" s="4" t="s">
        <v>274</v>
      </c>
      <c r="BC36" s="4" t="s">
        <v>434</v>
      </c>
      <c r="BD36" s="4"/>
      <c r="BE36" s="4"/>
      <c r="BF36" s="7"/>
      <c r="BG36" s="4"/>
      <c r="BH36" s="4"/>
      <c r="BI36" s="4"/>
      <c r="BJ36" s="7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8" customFormat="1">
      <c r="C37" s="9" t="s">
        <v>31</v>
      </c>
      <c r="D37" s="7" t="s">
        <v>14</v>
      </c>
      <c r="E37" s="7" t="s">
        <v>21</v>
      </c>
      <c r="F37" s="9" t="s">
        <v>21</v>
      </c>
      <c r="G37" s="4" t="s">
        <v>27</v>
      </c>
      <c r="H37" s="4"/>
      <c r="I37" s="7"/>
      <c r="J37" s="4"/>
      <c r="K37" s="4"/>
      <c r="L37" s="4"/>
      <c r="M37" s="4"/>
      <c r="N37" s="4"/>
      <c r="O37" s="4"/>
      <c r="P37" s="4"/>
      <c r="Q37" s="4"/>
      <c r="R37" s="4"/>
      <c r="S37" s="7"/>
      <c r="T37" s="4"/>
      <c r="U37" s="7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7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</row>
    <row r="38" spans="1:77" s="8" customFormat="1">
      <c r="A38" s="9"/>
      <c r="B38" s="9" t="s">
        <v>552</v>
      </c>
      <c r="C38" s="9" t="s">
        <v>30</v>
      </c>
      <c r="D38" s="7" t="s">
        <v>14</v>
      </c>
      <c r="E38" s="7" t="s">
        <v>21</v>
      </c>
      <c r="F38" s="9" t="s">
        <v>21</v>
      </c>
      <c r="G38" s="7" t="s">
        <v>24</v>
      </c>
      <c r="H38" s="7" t="s">
        <v>35</v>
      </c>
      <c r="I38" s="4" t="s">
        <v>35</v>
      </c>
      <c r="J38" s="4" t="s">
        <v>50</v>
      </c>
      <c r="K38" s="4" t="s">
        <v>238</v>
      </c>
      <c r="L38" s="4" t="s">
        <v>239</v>
      </c>
      <c r="M38" s="4" t="s">
        <v>248</v>
      </c>
      <c r="N38" s="4"/>
      <c r="O38" s="4" t="s">
        <v>238</v>
      </c>
      <c r="P38" s="4" t="s">
        <v>288</v>
      </c>
      <c r="Q38" s="4" t="s">
        <v>295</v>
      </c>
      <c r="R38" s="7" t="s">
        <v>299</v>
      </c>
      <c r="S38" s="4" t="s">
        <v>307</v>
      </c>
      <c r="T38" s="7" t="s">
        <v>313</v>
      </c>
      <c r="U38" s="7" t="s">
        <v>50</v>
      </c>
      <c r="V38" s="7" t="s">
        <v>337</v>
      </c>
      <c r="W38" s="4" t="s">
        <v>350</v>
      </c>
      <c r="X38" s="4" t="s">
        <v>357</v>
      </c>
      <c r="Y38" s="4" t="s">
        <v>371</v>
      </c>
      <c r="Z38" s="7" t="s">
        <v>389</v>
      </c>
      <c r="AA38" s="7" t="s">
        <v>389</v>
      </c>
      <c r="AB38" s="4" t="s">
        <v>350</v>
      </c>
      <c r="AC38" s="7" t="s">
        <v>423</v>
      </c>
      <c r="AD38" s="4" t="s">
        <v>350</v>
      </c>
      <c r="AE38" s="4" t="s">
        <v>433</v>
      </c>
      <c r="AF38" s="4" t="s">
        <v>389</v>
      </c>
      <c r="AG38" s="4" t="s">
        <v>357</v>
      </c>
      <c r="AH38" s="4" t="s">
        <v>458</v>
      </c>
      <c r="AI38" s="4" t="s">
        <v>350</v>
      </c>
      <c r="AJ38" s="4" t="s">
        <v>389</v>
      </c>
      <c r="AK38" s="4" t="s">
        <v>423</v>
      </c>
      <c r="AL38" s="7" t="s">
        <v>505</v>
      </c>
      <c r="AM38" s="4" t="s">
        <v>423</v>
      </c>
      <c r="AN38" s="7" t="s">
        <v>313</v>
      </c>
      <c r="AO38" s="7" t="s">
        <v>357</v>
      </c>
      <c r="AP38" s="7" t="s">
        <v>350</v>
      </c>
      <c r="AQ38" s="4" t="s">
        <v>584</v>
      </c>
      <c r="AR38" s="7"/>
      <c r="AS38" s="7" t="s">
        <v>605</v>
      </c>
      <c r="AT38" s="4"/>
      <c r="AU38" s="4"/>
      <c r="AV38" s="7" t="s">
        <v>423</v>
      </c>
      <c r="AW38" s="7" t="s">
        <v>423</v>
      </c>
      <c r="AX38" s="7" t="s">
        <v>389</v>
      </c>
      <c r="AY38" s="4" t="s">
        <v>389</v>
      </c>
      <c r="AZ38" s="4"/>
      <c r="BA38" s="4"/>
      <c r="BB38" s="4" t="s">
        <v>683</v>
      </c>
      <c r="BC38" s="4" t="s">
        <v>337</v>
      </c>
      <c r="BD38" s="4" t="s">
        <v>689</v>
      </c>
      <c r="BE38" s="7" t="s">
        <v>702</v>
      </c>
      <c r="BF38" s="4" t="s">
        <v>605</v>
      </c>
      <c r="BG38" s="4" t="s">
        <v>712</v>
      </c>
      <c r="BH38" s="4" t="s">
        <v>505</v>
      </c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8" customFormat="1">
      <c r="A39" s="9"/>
      <c r="B39" s="9" t="s">
        <v>549</v>
      </c>
      <c r="C39" s="9" t="s">
        <v>544</v>
      </c>
      <c r="D39" s="7" t="s">
        <v>16</v>
      </c>
      <c r="E39" s="7" t="s">
        <v>496</v>
      </c>
      <c r="F39" s="7" t="s">
        <v>21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7"/>
      <c r="AJ39" s="4"/>
      <c r="AK39" s="7"/>
      <c r="AL39" s="7"/>
      <c r="AM39" s="7"/>
      <c r="AN39" s="4" t="s">
        <v>360</v>
      </c>
      <c r="AO39" s="7" t="s">
        <v>461</v>
      </c>
      <c r="AP39" s="7" t="s">
        <v>290</v>
      </c>
      <c r="AQ39" s="7" t="s">
        <v>587</v>
      </c>
      <c r="AR39" s="7" t="s">
        <v>587</v>
      </c>
      <c r="AS39" s="7" t="s">
        <v>587</v>
      </c>
      <c r="AT39" s="7"/>
      <c r="AU39" s="4" t="s">
        <v>461</v>
      </c>
      <c r="AV39" s="7" t="s">
        <v>461</v>
      </c>
      <c r="AW39" s="7" t="s">
        <v>272</v>
      </c>
      <c r="AX39" s="7" t="s">
        <v>461</v>
      </c>
      <c r="AY39" s="4" t="s">
        <v>461</v>
      </c>
      <c r="AZ39" s="4"/>
      <c r="BA39" s="7"/>
      <c r="BB39" s="4" t="s">
        <v>272</v>
      </c>
      <c r="BC39" s="4"/>
      <c r="BD39" s="4"/>
      <c r="BE39" s="4"/>
      <c r="BF39" s="4"/>
      <c r="BG39" s="4" t="s">
        <v>272</v>
      </c>
      <c r="BH39" s="4" t="s">
        <v>272</v>
      </c>
      <c r="BI39" s="4" t="s">
        <v>272</v>
      </c>
      <c r="BJ39" s="4"/>
      <c r="BK39" s="4"/>
      <c r="BL39" s="4" t="s">
        <v>272</v>
      </c>
      <c r="BM39" s="4" t="s">
        <v>521</v>
      </c>
      <c r="BN39" s="4" t="s">
        <v>45</v>
      </c>
      <c r="BO39" s="4" t="s">
        <v>758</v>
      </c>
      <c r="BP39" s="4"/>
      <c r="BQ39" s="4"/>
      <c r="BR39" s="4"/>
      <c r="BS39" s="4"/>
      <c r="BT39" s="4"/>
      <c r="BU39" s="4"/>
      <c r="BV39" s="4"/>
      <c r="BW39" s="4"/>
      <c r="BX39" s="4"/>
      <c r="BY39" s="4"/>
    </row>
    <row r="40" spans="1:77" s="8" customFormat="1">
      <c r="A40" s="9"/>
      <c r="B40" s="12" t="s">
        <v>523</v>
      </c>
      <c r="C40" s="9" t="s">
        <v>620</v>
      </c>
      <c r="D40" s="6" t="s">
        <v>17</v>
      </c>
      <c r="E40" s="6" t="s">
        <v>496</v>
      </c>
      <c r="F40" s="6" t="s">
        <v>21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6" t="s">
        <v>421</v>
      </c>
      <c r="AD40" s="1" t="s">
        <v>431</v>
      </c>
      <c r="AE40" s="1" t="s">
        <v>431</v>
      </c>
      <c r="AF40" s="1" t="s">
        <v>447</v>
      </c>
      <c r="AG40" s="1" t="s">
        <v>453</v>
      </c>
      <c r="AH40" s="1" t="s">
        <v>447</v>
      </c>
      <c r="AI40" s="1" t="s">
        <v>447</v>
      </c>
      <c r="AJ40" s="1" t="s">
        <v>279</v>
      </c>
      <c r="AK40" s="1" t="s">
        <v>492</v>
      </c>
      <c r="AL40" s="1" t="s">
        <v>453</v>
      </c>
      <c r="AM40" s="1" t="s">
        <v>447</v>
      </c>
      <c r="AN40" s="6" t="s">
        <v>453</v>
      </c>
      <c r="AO40" s="6" t="s">
        <v>447</v>
      </c>
      <c r="AP40" s="6" t="s">
        <v>447</v>
      </c>
      <c r="AQ40" s="1" t="s">
        <v>591</v>
      </c>
      <c r="AR40" s="1" t="s">
        <v>447</v>
      </c>
      <c r="AS40" s="6" t="s">
        <v>431</v>
      </c>
      <c r="AT40" s="6" t="s">
        <v>421</v>
      </c>
      <c r="AU40" s="1" t="s">
        <v>591</v>
      </c>
      <c r="AV40" s="1" t="s">
        <v>591</v>
      </c>
      <c r="AW40" s="1" t="s">
        <v>591</v>
      </c>
      <c r="AX40" s="6" t="s">
        <v>591</v>
      </c>
      <c r="AY40" s="1" t="s">
        <v>661</v>
      </c>
      <c r="AZ40" s="1" t="s">
        <v>667</v>
      </c>
      <c r="BA40" s="1" t="s">
        <v>667</v>
      </c>
      <c r="BB40" s="1" t="s">
        <v>661</v>
      </c>
      <c r="BC40" s="6" t="s">
        <v>667</v>
      </c>
      <c r="BD40" s="1" t="s">
        <v>591</v>
      </c>
      <c r="BE40" s="6" t="s">
        <v>667</v>
      </c>
      <c r="BF40" s="6" t="s">
        <v>591</v>
      </c>
      <c r="BG40" s="6" t="s">
        <v>447</v>
      </c>
      <c r="BH40" s="1" t="s">
        <v>507</v>
      </c>
      <c r="BI40" s="1" t="s">
        <v>667</v>
      </c>
      <c r="BJ40" s="1" t="s">
        <v>667</v>
      </c>
      <c r="BK40" s="1" t="s">
        <v>667</v>
      </c>
      <c r="BL40" s="1" t="s">
        <v>746</v>
      </c>
      <c r="BM40" s="1" t="s">
        <v>446</v>
      </c>
      <c r="BN40" s="1" t="s">
        <v>667</v>
      </c>
      <c r="BO40" s="1" t="s">
        <v>402</v>
      </c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8" customFormat="1">
      <c r="A41" s="9" t="s">
        <v>282</v>
      </c>
      <c r="B41" s="9"/>
      <c r="C41" s="9" t="s">
        <v>49</v>
      </c>
      <c r="D41" s="7" t="s">
        <v>41</v>
      </c>
      <c r="E41" s="7" t="s">
        <v>21</v>
      </c>
      <c r="F41" s="9" t="s">
        <v>21</v>
      </c>
      <c r="G41" s="7" t="s">
        <v>22</v>
      </c>
      <c r="H41" s="7" t="s">
        <v>40</v>
      </c>
      <c r="I41" s="4" t="s">
        <v>47</v>
      </c>
      <c r="J41" s="7" t="s">
        <v>57</v>
      </c>
      <c r="K41" s="4" t="s">
        <v>235</v>
      </c>
      <c r="L41" s="4"/>
      <c r="M41" s="4"/>
      <c r="N41" s="4"/>
      <c r="O41" s="4"/>
      <c r="P41" s="4"/>
      <c r="Q41" s="7"/>
      <c r="R41" s="4"/>
      <c r="S41" s="7"/>
      <c r="T41" s="7"/>
      <c r="U41" s="7"/>
      <c r="V41" s="7"/>
      <c r="W41" s="7"/>
      <c r="X41" s="7"/>
      <c r="Y41" s="7"/>
      <c r="Z41" s="7"/>
      <c r="AA41" s="7"/>
      <c r="AB41" s="4"/>
      <c r="AC41" s="4"/>
      <c r="AD41" s="4"/>
      <c r="AE41" s="7"/>
      <c r="AF41" s="4"/>
      <c r="AG41" s="4"/>
      <c r="AH41" s="7"/>
      <c r="AI41" s="7"/>
      <c r="AJ41" s="4"/>
      <c r="AK41" s="4"/>
      <c r="AL41" s="4"/>
      <c r="AM41" s="7"/>
      <c r="AN41" s="7"/>
      <c r="AO41" s="7"/>
      <c r="AP41" s="7"/>
      <c r="AQ41" s="4"/>
      <c r="AR41" s="7"/>
      <c r="AS41" s="4"/>
      <c r="AT41" s="7"/>
      <c r="AU41" s="4"/>
      <c r="AV41" s="7"/>
      <c r="AW41" s="4"/>
      <c r="AX41" s="4"/>
      <c r="AY41" s="16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</row>
    <row r="42" spans="1:77" s="8" customFormat="1">
      <c r="A42" s="9"/>
      <c r="C42" s="9" t="s">
        <v>49</v>
      </c>
      <c r="D42" s="6" t="s">
        <v>14</v>
      </c>
      <c r="E42" s="6" t="s">
        <v>21</v>
      </c>
      <c r="F42" s="6" t="s">
        <v>21</v>
      </c>
      <c r="G42" s="1"/>
      <c r="H42" s="1"/>
      <c r="I42" s="1"/>
      <c r="J42" s="1"/>
      <c r="K42" s="1"/>
      <c r="L42" s="1" t="s">
        <v>247</v>
      </c>
      <c r="M42" s="1"/>
      <c r="N42" s="1"/>
      <c r="O42" s="1"/>
      <c r="P42" s="1"/>
      <c r="Q42" s="6"/>
      <c r="R42" s="1"/>
      <c r="S42" s="6"/>
      <c r="T42" s="6"/>
      <c r="U42" s="6"/>
      <c r="V42" s="1"/>
      <c r="W42" s="6"/>
      <c r="X42" s="6"/>
      <c r="Y42" s="1"/>
      <c r="Z42" s="1"/>
      <c r="AA42" s="6"/>
      <c r="AB42" s="1"/>
      <c r="AC42" s="1"/>
      <c r="AD42" s="1"/>
      <c r="AE42" s="6"/>
      <c r="AF42" s="1"/>
      <c r="AG42" s="1"/>
      <c r="AH42" s="6"/>
      <c r="AI42" s="6"/>
      <c r="AJ42" s="1"/>
      <c r="AK42" s="1"/>
      <c r="AL42" s="1"/>
      <c r="AM42" s="6"/>
      <c r="AN42" s="6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6"/>
      <c r="BG42" s="6"/>
      <c r="BH42" s="6"/>
      <c r="BI42" s="1"/>
      <c r="BJ42" s="1"/>
      <c r="BK42" s="1"/>
      <c r="BL42" s="1"/>
      <c r="BM42" s="1"/>
      <c r="BN42" s="1"/>
      <c r="BO42" s="1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8" customFormat="1">
      <c r="A43" s="9"/>
      <c r="B43" s="9"/>
      <c r="C43" s="9" t="s">
        <v>49</v>
      </c>
      <c r="D43" s="7" t="s">
        <v>14</v>
      </c>
      <c r="E43" s="7" t="s">
        <v>21</v>
      </c>
      <c r="F43" s="6" t="s">
        <v>21</v>
      </c>
      <c r="G43" s="4"/>
      <c r="H43" s="4"/>
      <c r="I43" s="4"/>
      <c r="J43" s="4"/>
      <c r="K43" s="4"/>
      <c r="L43" s="4"/>
      <c r="M43" s="7" t="s">
        <v>260</v>
      </c>
      <c r="N43" s="4"/>
      <c r="O43" s="4"/>
      <c r="P43" s="4"/>
      <c r="Q43" s="4"/>
      <c r="R43" s="4"/>
      <c r="S43" s="4"/>
      <c r="T43" s="4"/>
      <c r="U43" s="7"/>
      <c r="V43" s="4"/>
      <c r="W43" s="7"/>
      <c r="X43" s="7"/>
      <c r="Y43" s="7"/>
      <c r="Z43" s="4"/>
      <c r="AA43" s="7"/>
      <c r="AB43" s="4"/>
      <c r="AC43" s="4"/>
      <c r="AD43" s="4"/>
      <c r="AE43" s="7"/>
      <c r="AF43" s="4"/>
      <c r="AG43" s="4"/>
      <c r="AH43" s="7"/>
      <c r="AI43" s="7"/>
      <c r="AJ43" s="4"/>
      <c r="AK43" s="7"/>
      <c r="AL43" s="4"/>
      <c r="AM43" s="7"/>
      <c r="AN43" s="7"/>
      <c r="AO43" s="4"/>
      <c r="AP43" s="7"/>
      <c r="AQ43" s="4"/>
      <c r="AR43" s="4"/>
      <c r="AS43" s="4"/>
      <c r="AT43" s="7"/>
      <c r="AU43" s="4"/>
      <c r="AV43" s="7"/>
      <c r="AW43" s="7"/>
      <c r="AX43" s="7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</row>
    <row r="44" spans="1:77" s="8" customFormat="1">
      <c r="A44" s="9"/>
      <c r="B44" s="9"/>
      <c r="C44" s="9" t="s">
        <v>49</v>
      </c>
      <c r="D44" s="7" t="s">
        <v>14</v>
      </c>
      <c r="E44" s="7" t="s">
        <v>21</v>
      </c>
      <c r="F44" s="6" t="s">
        <v>21</v>
      </c>
      <c r="G44" s="4"/>
      <c r="H44" s="4"/>
      <c r="I44" s="4"/>
      <c r="J44" s="4"/>
      <c r="K44" s="4"/>
      <c r="L44" s="4"/>
      <c r="M44" s="4"/>
      <c r="N44" s="4" t="s">
        <v>263</v>
      </c>
      <c r="O44" s="4"/>
      <c r="P44" s="7"/>
      <c r="Q44" s="7"/>
      <c r="R44" s="4"/>
      <c r="S44" s="7"/>
      <c r="T44" s="7"/>
      <c r="U44" s="7"/>
      <c r="V44" s="7"/>
      <c r="W44" s="4"/>
      <c r="X44" s="7"/>
      <c r="Y44" s="4"/>
      <c r="Z44" s="7"/>
      <c r="AA44" s="7"/>
      <c r="AB44" s="7"/>
      <c r="AC44" s="7"/>
      <c r="AD44" s="7"/>
      <c r="AE44" s="4"/>
      <c r="AF44" s="4"/>
      <c r="AG44" s="4"/>
      <c r="AH44" s="7"/>
      <c r="AI44" s="7"/>
      <c r="AJ44" s="4"/>
      <c r="AK44" s="4"/>
      <c r="AL44" s="7"/>
      <c r="AM44" s="7"/>
      <c r="AN44" s="7"/>
      <c r="AO44" s="4"/>
      <c r="AP44" s="4"/>
      <c r="AQ44" s="4"/>
      <c r="AR44" s="7"/>
      <c r="AS44" s="4"/>
      <c r="AT44" s="7"/>
      <c r="AU44" s="4"/>
      <c r="AV44" s="4"/>
      <c r="AW44" s="7"/>
      <c r="AX44" s="7"/>
      <c r="AY44" s="4"/>
      <c r="AZ44" s="4"/>
      <c r="BA44" s="7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8" customFormat="1">
      <c r="B45" s="9"/>
      <c r="C45" s="9" t="s">
        <v>49</v>
      </c>
      <c r="D45" s="7" t="s">
        <v>14</v>
      </c>
      <c r="E45" s="7" t="s">
        <v>21</v>
      </c>
      <c r="F45" s="6" t="s">
        <v>21</v>
      </c>
      <c r="G45" s="4"/>
      <c r="H45" s="4"/>
      <c r="I45" s="4"/>
      <c r="J45" s="4"/>
      <c r="K45" s="4"/>
      <c r="L45" s="4"/>
      <c r="M45" s="4"/>
      <c r="N45" s="4" t="s">
        <v>264</v>
      </c>
      <c r="O45" s="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4"/>
      <c r="AD45" s="7"/>
      <c r="AE45" s="4"/>
      <c r="AF45" s="4"/>
      <c r="AG45" s="4"/>
      <c r="AH45" s="4"/>
      <c r="AI45" s="4"/>
      <c r="AJ45" s="4"/>
      <c r="AK45" s="4"/>
      <c r="AL45" s="7"/>
      <c r="AM45" s="4"/>
      <c r="AN45" s="4"/>
      <c r="AO45" s="4"/>
      <c r="AP45" s="7"/>
      <c r="AQ45" s="7"/>
      <c r="AR45" s="7"/>
      <c r="AS45" s="7"/>
      <c r="AT45" s="7"/>
      <c r="AU45" s="4"/>
      <c r="AV45" s="4"/>
      <c r="AW45" s="7"/>
      <c r="AX45" s="7"/>
      <c r="AY45" s="4"/>
      <c r="AZ45" s="4"/>
      <c r="BA45" s="7"/>
      <c r="BB45" s="4"/>
      <c r="BC45" s="4"/>
      <c r="BD45" s="7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</row>
    <row r="46" spans="1:77" s="8" customFormat="1">
      <c r="A46" s="9"/>
      <c r="B46" s="9"/>
      <c r="C46" s="9" t="s">
        <v>49</v>
      </c>
      <c r="D46" s="7" t="s">
        <v>14</v>
      </c>
      <c r="E46" s="7" t="s">
        <v>21</v>
      </c>
      <c r="F46" s="7" t="s">
        <v>21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 t="s">
        <v>43</v>
      </c>
      <c r="Y46" s="4"/>
      <c r="Z46" s="4"/>
      <c r="AA46" s="7"/>
      <c r="AB46" s="7"/>
      <c r="AC46" s="4"/>
      <c r="AD46" s="7"/>
      <c r="AE46" s="4"/>
      <c r="AF46" s="4"/>
      <c r="AG46" s="7"/>
      <c r="AH46" s="7"/>
      <c r="AI46" s="7"/>
      <c r="AJ46" s="7"/>
      <c r="AK46" s="7"/>
      <c r="AL46" s="7"/>
      <c r="AM46" s="7"/>
      <c r="AN46" s="7"/>
      <c r="AO46" s="4"/>
      <c r="AP46" s="7"/>
      <c r="AQ46" s="7"/>
      <c r="AR46" s="7"/>
      <c r="AS46" s="7"/>
      <c r="AT46" s="7"/>
      <c r="AU46" s="4"/>
      <c r="AV46" s="7"/>
      <c r="AW46" s="7"/>
      <c r="AX46" s="4"/>
      <c r="AY46" s="7"/>
      <c r="AZ46" s="7"/>
      <c r="BA46" s="4"/>
      <c r="BB46" s="4"/>
      <c r="BC46" s="4"/>
      <c r="BD46" s="7"/>
      <c r="BE46" s="4"/>
      <c r="BF46" s="7"/>
      <c r="BG46" s="7"/>
      <c r="BH46" s="7"/>
      <c r="BI46" s="4"/>
      <c r="BJ46" s="7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8" customFormat="1" ht="15.75">
      <c r="A47" s="9" t="s">
        <v>370</v>
      </c>
      <c r="B47" s="9"/>
      <c r="C47" s="9" t="s">
        <v>49</v>
      </c>
      <c r="D47" s="7" t="s">
        <v>367</v>
      </c>
      <c r="E47" s="7" t="s">
        <v>21</v>
      </c>
      <c r="F47" s="7" t="s">
        <v>21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 t="s">
        <v>368</v>
      </c>
      <c r="Y47" s="4"/>
      <c r="Z47" s="7"/>
      <c r="AA47" s="4"/>
      <c r="AB47" s="4"/>
      <c r="AC47" s="7"/>
      <c r="AD47" s="7"/>
      <c r="AE47" s="4"/>
      <c r="AF47" s="4"/>
      <c r="AG47" s="4"/>
      <c r="AH47" s="7"/>
      <c r="AI47" s="4"/>
      <c r="AJ47" s="4"/>
      <c r="AK47" s="4"/>
      <c r="AL47" s="4"/>
      <c r="AM47" s="4"/>
      <c r="AN47" s="4"/>
      <c r="AO47" s="4"/>
      <c r="AP47" s="4"/>
      <c r="AQ47" s="4"/>
      <c r="AR47" s="7"/>
      <c r="AS47" s="4"/>
      <c r="AT47" s="4"/>
      <c r="AU47" s="4"/>
      <c r="AV47" s="4"/>
      <c r="AW47" s="10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</row>
    <row r="48" spans="1:77" s="8" customFormat="1">
      <c r="A48" s="8" t="s">
        <v>457</v>
      </c>
      <c r="B48" s="9"/>
      <c r="C48" s="9" t="s">
        <v>49</v>
      </c>
      <c r="D48" s="11" t="s">
        <v>20</v>
      </c>
      <c r="E48" s="6" t="s">
        <v>21</v>
      </c>
      <c r="F48" s="6" t="s">
        <v>21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7" t="s">
        <v>455</v>
      </c>
      <c r="AH48" s="4" t="s">
        <v>350</v>
      </c>
      <c r="AI48" s="7"/>
      <c r="AJ48" s="7"/>
      <c r="AK48" s="4"/>
      <c r="AL48" s="7"/>
      <c r="AM48" s="7"/>
      <c r="AN48" s="7"/>
      <c r="AO48" s="4"/>
      <c r="AP48" s="7"/>
      <c r="AQ48" s="4"/>
      <c r="AR48" s="7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7"/>
      <c r="BE48" s="4"/>
      <c r="BF48" s="7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8" customFormat="1">
      <c r="B49" s="9"/>
      <c r="C49" s="9" t="s">
        <v>49</v>
      </c>
      <c r="D49" s="7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7"/>
      <c r="AM49" s="4"/>
      <c r="AN49" s="4"/>
      <c r="AO49" s="4"/>
      <c r="AP49" s="4"/>
      <c r="AQ49" s="4"/>
      <c r="AR49" s="7"/>
      <c r="AS49" s="4"/>
      <c r="AT49" s="7" t="s">
        <v>43</v>
      </c>
      <c r="AU49" s="4" t="s">
        <v>43</v>
      </c>
      <c r="AV49" s="4"/>
      <c r="AW49" s="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</row>
    <row r="50" spans="1:77" s="8" customFormat="1">
      <c r="A50" s="9" t="s">
        <v>331</v>
      </c>
      <c r="B50" s="9" t="s">
        <v>501</v>
      </c>
      <c r="C50" s="9" t="s">
        <v>336</v>
      </c>
      <c r="D50" s="4" t="s">
        <v>14</v>
      </c>
      <c r="E50" s="7" t="s">
        <v>496</v>
      </c>
      <c r="F50" s="6" t="s">
        <v>21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7" t="s">
        <v>332</v>
      </c>
      <c r="V50" s="7" t="s">
        <v>345</v>
      </c>
      <c r="W50" s="7" t="s">
        <v>345</v>
      </c>
      <c r="X50" s="7" t="s">
        <v>361</v>
      </c>
      <c r="Y50" s="4" t="s">
        <v>361</v>
      </c>
      <c r="Z50" s="7" t="s">
        <v>394</v>
      </c>
      <c r="AA50" s="7" t="s">
        <v>399</v>
      </c>
      <c r="AB50" s="4" t="s">
        <v>399</v>
      </c>
      <c r="AC50" s="4" t="s">
        <v>332</v>
      </c>
      <c r="AD50" s="4" t="s">
        <v>399</v>
      </c>
      <c r="AE50" s="7" t="s">
        <v>361</v>
      </c>
      <c r="AF50" s="4" t="s">
        <v>399</v>
      </c>
      <c r="AG50" s="4" t="s">
        <v>399</v>
      </c>
      <c r="AH50" s="7" t="s">
        <v>345</v>
      </c>
      <c r="AI50" s="7" t="s">
        <v>477</v>
      </c>
      <c r="AJ50" s="7" t="s">
        <v>303</v>
      </c>
      <c r="AK50" s="7" t="s">
        <v>399</v>
      </c>
      <c r="AL50" s="7" t="s">
        <v>265</v>
      </c>
      <c r="AM50" s="4" t="s">
        <v>399</v>
      </c>
      <c r="AN50" s="4" t="s">
        <v>250</v>
      </c>
      <c r="AO50" s="7" t="s">
        <v>303</v>
      </c>
      <c r="AP50" s="7" t="s">
        <v>572</v>
      </c>
      <c r="AQ50" s="7" t="s">
        <v>572</v>
      </c>
      <c r="AR50" s="7" t="s">
        <v>394</v>
      </c>
      <c r="AS50" s="7" t="s">
        <v>572</v>
      </c>
      <c r="AT50" s="7" t="s">
        <v>616</v>
      </c>
      <c r="AU50" s="4" t="s">
        <v>399</v>
      </c>
      <c r="AV50" s="7" t="s">
        <v>634</v>
      </c>
      <c r="AW50" s="7" t="s">
        <v>616</v>
      </c>
      <c r="AX50" s="4" t="s">
        <v>649</v>
      </c>
      <c r="AY50" s="4" t="s">
        <v>394</v>
      </c>
      <c r="AZ50" s="4" t="s">
        <v>303</v>
      </c>
      <c r="BA50" s="7" t="s">
        <v>303</v>
      </c>
      <c r="BB50" s="4" t="s">
        <v>616</v>
      </c>
      <c r="BC50" s="4" t="s">
        <v>250</v>
      </c>
      <c r="BD50" s="4" t="s">
        <v>399</v>
      </c>
      <c r="BE50" s="7" t="s">
        <v>43</v>
      </c>
      <c r="BF50" s="4" t="s">
        <v>43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8" customFormat="1">
      <c r="A51" s="9" t="s">
        <v>261</v>
      </c>
      <c r="B51" s="8" t="s">
        <v>511</v>
      </c>
      <c r="C51" s="9" t="s">
        <v>32</v>
      </c>
      <c r="D51" s="7" t="s">
        <v>14</v>
      </c>
      <c r="E51" s="7" t="s">
        <v>496</v>
      </c>
      <c r="F51" s="9" t="s">
        <v>21</v>
      </c>
      <c r="G51" s="4" t="s">
        <v>26</v>
      </c>
      <c r="H51" s="7" t="s">
        <v>39</v>
      </c>
      <c r="I51" s="7" t="s">
        <v>26</v>
      </c>
      <c r="J51" s="7" t="s">
        <v>54</v>
      </c>
      <c r="K51" s="4" t="s">
        <v>39</v>
      </c>
      <c r="L51" s="4" t="s">
        <v>243</v>
      </c>
      <c r="M51" s="7" t="s">
        <v>253</v>
      </c>
      <c r="N51" s="4" t="s">
        <v>39</v>
      </c>
      <c r="O51" s="4" t="s">
        <v>277</v>
      </c>
      <c r="P51" s="4" t="s">
        <v>253</v>
      </c>
      <c r="Q51" s="4" t="s">
        <v>253</v>
      </c>
      <c r="R51" s="7" t="s">
        <v>54</v>
      </c>
      <c r="S51" s="7" t="s">
        <v>54</v>
      </c>
      <c r="T51" s="7" t="s">
        <v>54</v>
      </c>
      <c r="U51" s="7" t="s">
        <v>26</v>
      </c>
      <c r="V51" s="4" t="s">
        <v>253</v>
      </c>
      <c r="W51" s="7" t="s">
        <v>253</v>
      </c>
      <c r="X51" s="4" t="s">
        <v>39</v>
      </c>
      <c r="Y51" s="4" t="s">
        <v>383</v>
      </c>
      <c r="Z51" s="7" t="s">
        <v>26</v>
      </c>
      <c r="AA51" s="7" t="s">
        <v>26</v>
      </c>
      <c r="AB51" s="4" t="s">
        <v>26</v>
      </c>
      <c r="AC51" s="4" t="s">
        <v>39</v>
      </c>
      <c r="AD51" s="4" t="s">
        <v>26</v>
      </c>
      <c r="AE51" s="4" t="s">
        <v>383</v>
      </c>
      <c r="AF51" s="4" t="s">
        <v>26</v>
      </c>
      <c r="AG51" s="4" t="s">
        <v>26</v>
      </c>
      <c r="AH51" s="4" t="s">
        <v>26</v>
      </c>
      <c r="AI51" s="4" t="s">
        <v>383</v>
      </c>
      <c r="AJ51" s="4" t="s">
        <v>26</v>
      </c>
      <c r="AK51" s="4" t="s">
        <v>26</v>
      </c>
      <c r="AL51" s="7" t="s">
        <v>26</v>
      </c>
      <c r="AM51" s="4" t="s">
        <v>26</v>
      </c>
      <c r="AN51" s="4" t="s">
        <v>538</v>
      </c>
      <c r="AO51" s="7" t="s">
        <v>26</v>
      </c>
      <c r="AP51" s="7" t="s">
        <v>577</v>
      </c>
      <c r="AQ51" s="4" t="s">
        <v>589</v>
      </c>
      <c r="AR51" s="7" t="s">
        <v>383</v>
      </c>
      <c r="AS51" s="7" t="s">
        <v>598</v>
      </c>
      <c r="AT51" s="4" t="s">
        <v>383</v>
      </c>
      <c r="AU51" s="4" t="s">
        <v>577</v>
      </c>
      <c r="AV51" s="4"/>
      <c r="AW51" s="7" t="s">
        <v>272</v>
      </c>
      <c r="AX51" s="4"/>
      <c r="AY51" s="4" t="s">
        <v>383</v>
      </c>
      <c r="AZ51" s="4" t="s">
        <v>252</v>
      </c>
      <c r="BA51" s="4" t="s">
        <v>677</v>
      </c>
      <c r="BB51" s="4" t="s">
        <v>436</v>
      </c>
      <c r="BC51" s="7" t="s">
        <v>276</v>
      </c>
      <c r="BD51" s="4" t="s">
        <v>436</v>
      </c>
      <c r="BE51" s="7" t="s">
        <v>252</v>
      </c>
      <c r="BF51" s="4" t="s">
        <v>383</v>
      </c>
      <c r="BG51" s="4" t="s">
        <v>643</v>
      </c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8" customFormat="1">
      <c r="C52" s="9" t="s">
        <v>61</v>
      </c>
      <c r="D52" s="7" t="s">
        <v>20</v>
      </c>
      <c r="E52" s="7" t="s">
        <v>21</v>
      </c>
      <c r="F52" s="9" t="s">
        <v>21</v>
      </c>
      <c r="G52" s="4"/>
      <c r="H52" s="4"/>
      <c r="I52" s="4"/>
      <c r="J52" s="7" t="s">
        <v>60</v>
      </c>
      <c r="K52" s="4"/>
      <c r="L52" s="4"/>
      <c r="M52" s="4"/>
      <c r="N52" s="7"/>
      <c r="O52" s="4"/>
      <c r="P52" s="7"/>
      <c r="Q52" s="7"/>
      <c r="R52" s="7"/>
      <c r="S52" s="7"/>
      <c r="T52" s="7"/>
      <c r="U52" s="7"/>
      <c r="V52" s="7"/>
      <c r="W52" s="4"/>
      <c r="X52" s="7"/>
      <c r="Y52" s="4"/>
      <c r="Z52" s="7"/>
      <c r="AA52" s="7"/>
      <c r="AB52" s="7"/>
      <c r="AC52" s="4"/>
      <c r="AD52" s="7"/>
      <c r="AE52" s="7"/>
      <c r="AF52" s="4"/>
      <c r="AG52" s="4"/>
      <c r="AH52" s="7"/>
      <c r="AI52" s="7"/>
      <c r="AJ52" s="4"/>
      <c r="AK52" s="4"/>
      <c r="AL52" s="7"/>
      <c r="AM52" s="4"/>
      <c r="AN52" s="7"/>
      <c r="AO52" s="7"/>
      <c r="AP52" s="7"/>
      <c r="AQ52" s="7"/>
      <c r="AR52" s="7"/>
      <c r="AS52" s="7"/>
      <c r="AT52" s="7"/>
      <c r="AU52" s="4"/>
      <c r="AV52" s="7"/>
      <c r="AW52" s="7"/>
      <c r="AX52" s="7"/>
      <c r="AY52" s="7"/>
      <c r="AZ52" s="7"/>
      <c r="BA52" s="7"/>
      <c r="BB52" s="4"/>
      <c r="BC52" s="4"/>
      <c r="BD52" s="7"/>
      <c r="BE52" s="4"/>
      <c r="BF52" s="7"/>
      <c r="BG52" s="4"/>
      <c r="BH52" s="4"/>
      <c r="BI52" s="4"/>
      <c r="BJ52" s="7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>
      <c r="B53" s="9" t="s">
        <v>674</v>
      </c>
      <c r="C53" s="9" t="s">
        <v>670</v>
      </c>
      <c r="D53" s="7" t="s">
        <v>14</v>
      </c>
      <c r="E53" s="7" t="s">
        <v>496</v>
      </c>
      <c r="F53" s="7" t="s">
        <v>21</v>
      </c>
      <c r="AP53" s="6"/>
      <c r="AS53" s="6" t="s">
        <v>610</v>
      </c>
      <c r="AT53" s="1" t="s">
        <v>617</v>
      </c>
      <c r="AU53" s="1" t="s">
        <v>630</v>
      </c>
      <c r="AV53" s="1" t="s">
        <v>590</v>
      </c>
      <c r="AW53" s="1" t="s">
        <v>590</v>
      </c>
      <c r="AX53" s="6" t="s">
        <v>652</v>
      </c>
      <c r="AY53" s="1" t="s">
        <v>659</v>
      </c>
      <c r="AZ53" s="1" t="s">
        <v>666</v>
      </c>
      <c r="BA53" s="1" t="s">
        <v>666</v>
      </c>
      <c r="BB53" s="1" t="s">
        <v>682</v>
      </c>
      <c r="BC53" s="6" t="s">
        <v>687</v>
      </c>
    </row>
    <row r="54" spans="1:77" s="8" customFormat="1">
      <c r="A54" s="9"/>
      <c r="B54" s="9" t="s">
        <v>633</v>
      </c>
      <c r="C54" s="9" t="s">
        <v>614</v>
      </c>
      <c r="D54" s="7" t="s">
        <v>14</v>
      </c>
      <c r="E54" s="7" t="s">
        <v>496</v>
      </c>
      <c r="F54" s="7" t="s">
        <v>21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M54" s="7"/>
      <c r="AN54" s="7"/>
      <c r="AO54" s="4"/>
      <c r="AP54" s="7"/>
      <c r="AQ54" s="4"/>
      <c r="AR54" s="7"/>
      <c r="AS54" s="7" t="s">
        <v>241</v>
      </c>
      <c r="AT54" s="4"/>
      <c r="AU54" s="4"/>
      <c r="AV54" s="4"/>
      <c r="AW54" s="4"/>
      <c r="AX54" s="7"/>
      <c r="AY54" s="4"/>
      <c r="AZ54" s="4"/>
      <c r="BA54" s="7"/>
      <c r="BB54" s="7"/>
      <c r="BC54" s="7"/>
      <c r="BD54" s="7"/>
      <c r="BE54" s="4"/>
      <c r="BF54" s="7"/>
      <c r="BG54" s="7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8" customFormat="1">
      <c r="B55" s="9"/>
      <c r="C55" s="9" t="s">
        <v>356</v>
      </c>
      <c r="D55" s="7" t="s">
        <v>14</v>
      </c>
      <c r="E55" s="7" t="s">
        <v>21</v>
      </c>
      <c r="F55" s="7" t="s">
        <v>21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7" t="s">
        <v>58</v>
      </c>
      <c r="X55" s="4"/>
      <c r="Y55" s="4"/>
      <c r="Z55" s="7"/>
      <c r="AA55" s="7"/>
      <c r="AB55" s="7"/>
      <c r="AC55" s="4"/>
      <c r="AD55" s="7"/>
      <c r="AE55" s="4"/>
      <c r="AF55" s="4"/>
      <c r="AG55" s="7"/>
      <c r="AH55" s="4"/>
      <c r="AI55" s="4"/>
      <c r="AJ55" s="4"/>
      <c r="AK55" s="7"/>
      <c r="AL55" s="7"/>
      <c r="AM55" s="4"/>
      <c r="AN55" s="7"/>
      <c r="AO55" s="4"/>
      <c r="AP55" s="34"/>
      <c r="AQ55" s="7"/>
      <c r="AR55" s="7"/>
      <c r="AS55" s="7"/>
      <c r="AT55" s="7"/>
      <c r="AU55" s="4"/>
      <c r="AV55" s="4"/>
      <c r="AW55" s="7"/>
      <c r="AX55" s="4"/>
      <c r="AY55" s="4"/>
      <c r="AZ55" s="4"/>
      <c r="BA55" s="7"/>
      <c r="BB55" s="4"/>
      <c r="BC55" s="4"/>
      <c r="BD55" s="4"/>
      <c r="BE55" s="4"/>
      <c r="BF55" s="7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8" customFormat="1">
      <c r="A56" s="9" t="s">
        <v>542</v>
      </c>
      <c r="B56" s="9" t="s">
        <v>551</v>
      </c>
      <c r="C56" s="9" t="s">
        <v>613</v>
      </c>
      <c r="D56" s="7" t="s">
        <v>14</v>
      </c>
      <c r="E56" s="7" t="s">
        <v>496</v>
      </c>
      <c r="F56" s="7" t="s">
        <v>21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7"/>
      <c r="AK56" s="7"/>
      <c r="AL56" s="7"/>
      <c r="AM56" s="7"/>
      <c r="AN56" s="7" t="s">
        <v>246</v>
      </c>
      <c r="AO56" s="7" t="s">
        <v>46</v>
      </c>
      <c r="AP56" s="7" t="s">
        <v>580</v>
      </c>
      <c r="AQ56" s="7" t="s">
        <v>46</v>
      </c>
      <c r="AR56" s="7" t="s">
        <v>246</v>
      </c>
      <c r="AS56" s="7" t="s">
        <v>40</v>
      </c>
      <c r="AT56" s="7" t="s">
        <v>40</v>
      </c>
      <c r="AU56" s="4"/>
      <c r="AV56" s="7"/>
      <c r="AW56" s="7"/>
      <c r="AX56" s="7"/>
      <c r="AY56" s="4"/>
      <c r="AZ56" s="4"/>
      <c r="BA56" s="7"/>
      <c r="BB56" s="4"/>
      <c r="BC56" s="7" t="s">
        <v>688</v>
      </c>
      <c r="BD56" s="4" t="s">
        <v>693</v>
      </c>
      <c r="BE56" s="7" t="s">
        <v>320</v>
      </c>
      <c r="BF56" s="7" t="s">
        <v>298</v>
      </c>
      <c r="BG56" s="7" t="s">
        <v>298</v>
      </c>
      <c r="BH56" s="4" t="s">
        <v>422</v>
      </c>
      <c r="BI56" s="4" t="s">
        <v>320</v>
      </c>
      <c r="BJ56" s="4"/>
      <c r="BK56" s="4"/>
      <c r="BL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8" customFormat="1">
      <c r="A57" s="8" t="s">
        <v>282</v>
      </c>
      <c r="B57" s="9"/>
      <c r="C57" s="9" t="s">
        <v>287</v>
      </c>
      <c r="D57" s="7" t="s">
        <v>14</v>
      </c>
      <c r="E57" s="7" t="s">
        <v>21</v>
      </c>
      <c r="F57" s="6" t="s">
        <v>21</v>
      </c>
      <c r="G57" s="1"/>
      <c r="H57" s="1"/>
      <c r="I57" s="1"/>
      <c r="J57" s="1"/>
      <c r="K57" s="1"/>
      <c r="L57" s="1"/>
      <c r="M57" s="1"/>
      <c r="N57" s="1"/>
      <c r="O57" s="1" t="s">
        <v>279</v>
      </c>
      <c r="P57" s="1"/>
      <c r="Q57" s="1" t="s">
        <v>247</v>
      </c>
      <c r="R57" s="1"/>
      <c r="S57" s="1"/>
      <c r="T57" s="1"/>
      <c r="U57" s="6"/>
      <c r="V57" s="1"/>
      <c r="W57" s="1"/>
      <c r="X57" s="1"/>
      <c r="Y57" s="1"/>
      <c r="Z57" s="1"/>
      <c r="AA57" s="1"/>
      <c r="AB57" s="1"/>
      <c r="AC57" s="1"/>
      <c r="AD57" s="1"/>
      <c r="AE57" s="6"/>
      <c r="AF57" s="1"/>
      <c r="AG57" s="1"/>
      <c r="AH57" s="6"/>
      <c r="AI57" s="1"/>
      <c r="AJ57" s="1"/>
      <c r="AK57" s="1"/>
      <c r="AL57" s="1"/>
      <c r="AM57" s="1"/>
      <c r="AN57" s="1"/>
      <c r="AO57" s="1"/>
      <c r="AP57" s="1"/>
      <c r="AQ57" s="1"/>
      <c r="AR57" s="6"/>
      <c r="AS57" s="1"/>
      <c r="AT57" s="6"/>
      <c r="AU57" s="1"/>
      <c r="AV57" s="6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8" customFormat="1">
      <c r="A58" s="9"/>
      <c r="B58" s="9" t="s">
        <v>646</v>
      </c>
      <c r="C58" s="9" t="s">
        <v>637</v>
      </c>
      <c r="D58" s="7" t="s">
        <v>14</v>
      </c>
      <c r="E58" s="7" t="s">
        <v>496</v>
      </c>
      <c r="F58" s="7" t="s">
        <v>21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7"/>
      <c r="AP58" s="4"/>
      <c r="AQ58" s="4"/>
      <c r="AR58" s="4"/>
      <c r="AS58" s="4"/>
      <c r="AT58" s="7"/>
      <c r="AU58" s="4"/>
      <c r="AV58" s="7" t="s">
        <v>518</v>
      </c>
      <c r="AW58" s="7"/>
      <c r="AX58" s="7" t="s">
        <v>277</v>
      </c>
      <c r="AY58" s="4" t="s">
        <v>518</v>
      </c>
      <c r="AZ58" s="4"/>
      <c r="BA58" s="4"/>
      <c r="BB58" s="4"/>
      <c r="BC58" s="4"/>
      <c r="BD58" s="7"/>
      <c r="BE58" s="4"/>
      <c r="BF58" s="7"/>
      <c r="BG58" s="7"/>
      <c r="BH58" s="7"/>
      <c r="BI58" s="4"/>
      <c r="BJ58" s="7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8" customFormat="1">
      <c r="A59" s="9"/>
      <c r="C59" s="9" t="s">
        <v>237</v>
      </c>
      <c r="D59" s="7" t="s">
        <v>14</v>
      </c>
      <c r="E59" s="7" t="s">
        <v>21</v>
      </c>
      <c r="F59" s="9" t="s">
        <v>21</v>
      </c>
      <c r="G59" s="4"/>
      <c r="H59" s="4"/>
      <c r="I59" s="4"/>
      <c r="J59" s="4"/>
      <c r="K59" s="4" t="s">
        <v>236</v>
      </c>
      <c r="L59" s="4"/>
      <c r="M59" s="1"/>
      <c r="N59" s="7"/>
      <c r="O59" s="4"/>
      <c r="P59" s="7"/>
      <c r="Q59" s="7"/>
      <c r="R59" s="7"/>
      <c r="S59" s="7"/>
      <c r="T59" s="7"/>
      <c r="U59" s="7"/>
      <c r="V59" s="7"/>
      <c r="W59" s="7"/>
      <c r="X59" s="7"/>
      <c r="Y59" s="4"/>
      <c r="Z59" s="7"/>
      <c r="AA59" s="7"/>
      <c r="AB59" s="7"/>
      <c r="AC59" s="4"/>
      <c r="AD59" s="7"/>
      <c r="AE59" s="4"/>
      <c r="AF59" s="4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4"/>
      <c r="AV59" s="7"/>
      <c r="AW59" s="7"/>
      <c r="AX59" s="7"/>
      <c r="AY59" s="4"/>
      <c r="AZ59" s="7"/>
      <c r="BA59" s="7"/>
      <c r="BB59" s="4"/>
      <c r="BC59" s="4"/>
      <c r="BD59" s="7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8" customFormat="1">
      <c r="A60" s="9"/>
      <c r="B60" s="9" t="s">
        <v>512</v>
      </c>
      <c r="C60" s="9" t="s">
        <v>369</v>
      </c>
      <c r="D60" s="7" t="s">
        <v>14</v>
      </c>
      <c r="E60" s="7" t="s">
        <v>496</v>
      </c>
      <c r="F60" s="7" t="s">
        <v>21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 t="s">
        <v>363</v>
      </c>
      <c r="Y60" s="4" t="s">
        <v>45</v>
      </c>
      <c r="Z60" s="7" t="s">
        <v>395</v>
      </c>
      <c r="AA60" s="7" t="s">
        <v>45</v>
      </c>
      <c r="AB60" s="7" t="s">
        <v>410</v>
      </c>
      <c r="AC60" s="7" t="s">
        <v>45</v>
      </c>
      <c r="AD60" s="7" t="s">
        <v>395</v>
      </c>
      <c r="AE60" s="4" t="s">
        <v>438</v>
      </c>
      <c r="AF60" s="4" t="s">
        <v>438</v>
      </c>
      <c r="AG60" s="7" t="s">
        <v>45</v>
      </c>
      <c r="AH60" s="7" t="s">
        <v>438</v>
      </c>
      <c r="AI60" s="7" t="s">
        <v>438</v>
      </c>
      <c r="AJ60" s="7" t="s">
        <v>395</v>
      </c>
      <c r="AK60" s="7"/>
      <c r="AL60" s="7" t="s">
        <v>395</v>
      </c>
      <c r="AM60" s="7" t="s">
        <v>521</v>
      </c>
      <c r="AN60" s="7" t="s">
        <v>45</v>
      </c>
      <c r="AO60" s="7" t="s">
        <v>565</v>
      </c>
      <c r="AP60" s="7" t="s">
        <v>395</v>
      </c>
      <c r="AQ60" s="7" t="s">
        <v>267</v>
      </c>
      <c r="AR60" s="7" t="s">
        <v>521</v>
      </c>
      <c r="AS60" s="7" t="s">
        <v>521</v>
      </c>
      <c r="AT60" s="7" t="s">
        <v>521</v>
      </c>
      <c r="AU60" s="4" t="s">
        <v>521</v>
      </c>
      <c r="AV60" s="7" t="s">
        <v>363</v>
      </c>
      <c r="AW60" s="7" t="s">
        <v>452</v>
      </c>
      <c r="AX60" s="7" t="s">
        <v>654</v>
      </c>
      <c r="AY60" s="4" t="s">
        <v>521</v>
      </c>
      <c r="AZ60" s="7" t="s">
        <v>565</v>
      </c>
      <c r="BA60" s="7" t="s">
        <v>438</v>
      </c>
      <c r="BB60" s="4" t="s">
        <v>45</v>
      </c>
      <c r="BC60" s="7" t="s">
        <v>395</v>
      </c>
      <c r="BD60" s="7" t="s">
        <v>438</v>
      </c>
      <c r="BE60" s="7" t="s">
        <v>521</v>
      </c>
      <c r="BF60" s="7" t="s">
        <v>267</v>
      </c>
      <c r="BG60" s="7" t="s">
        <v>254</v>
      </c>
      <c r="BH60" s="7" t="s">
        <v>267</v>
      </c>
      <c r="BI60" s="4" t="s">
        <v>395</v>
      </c>
      <c r="BJ60" s="7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8" customFormat="1" ht="13.5" customHeight="1">
      <c r="A61" s="8" t="s">
        <v>665</v>
      </c>
      <c r="B61" s="9" t="s">
        <v>673</v>
      </c>
      <c r="C61" s="9" t="s">
        <v>672</v>
      </c>
      <c r="D61" s="6" t="s">
        <v>14</v>
      </c>
      <c r="E61" s="6" t="s">
        <v>496</v>
      </c>
      <c r="F61" s="6" t="s">
        <v>21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6"/>
      <c r="AR61" s="6"/>
      <c r="AS61" s="1"/>
      <c r="AT61" s="1"/>
      <c r="AU61" s="1"/>
      <c r="AV61" s="1"/>
      <c r="AW61" s="6"/>
      <c r="AX61" s="1"/>
      <c r="AY61" s="1"/>
      <c r="AZ61" s="1" t="s">
        <v>664</v>
      </c>
      <c r="BA61" s="6" t="s">
        <v>664</v>
      </c>
      <c r="BB61" s="1" t="s">
        <v>272</v>
      </c>
      <c r="BC61" s="1"/>
      <c r="BD61" s="1"/>
      <c r="BE61" s="1"/>
      <c r="BF61" s="6"/>
      <c r="BG61" s="1"/>
      <c r="BH61" s="1"/>
      <c r="BI61" s="1"/>
      <c r="BJ61" s="1"/>
      <c r="BK61" s="1"/>
      <c r="BL61" s="1"/>
      <c r="BM61" s="1"/>
      <c r="BN61" s="1"/>
      <c r="BO61" s="1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8" customFormat="1">
      <c r="A62" s="8" t="s">
        <v>318</v>
      </c>
      <c r="B62" s="9" t="s">
        <v>498</v>
      </c>
      <c r="C62" s="9" t="s">
        <v>323</v>
      </c>
      <c r="D62" s="4" t="s">
        <v>14</v>
      </c>
      <c r="E62" s="7" t="s">
        <v>496</v>
      </c>
      <c r="F62" s="6" t="s">
        <v>21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314</v>
      </c>
      <c r="U62" s="7" t="s">
        <v>239</v>
      </c>
      <c r="V62" s="4" t="s">
        <v>341</v>
      </c>
      <c r="W62" s="7" t="s">
        <v>239</v>
      </c>
      <c r="X62" s="4" t="s">
        <v>358</v>
      </c>
      <c r="Y62" s="4" t="s">
        <v>373</v>
      </c>
      <c r="Z62" s="7" t="s">
        <v>391</v>
      </c>
      <c r="AA62" s="7" t="s">
        <v>341</v>
      </c>
      <c r="AB62" s="7" t="s">
        <v>314</v>
      </c>
      <c r="AC62" s="4" t="s">
        <v>358</v>
      </c>
      <c r="AD62" s="7" t="s">
        <v>425</v>
      </c>
      <c r="AE62" s="7" t="s">
        <v>248</v>
      </c>
      <c r="AF62" s="4" t="s">
        <v>240</v>
      </c>
      <c r="AG62" s="7" t="s">
        <v>314</v>
      </c>
      <c r="AH62" s="7" t="s">
        <v>295</v>
      </c>
      <c r="AI62" s="7" t="s">
        <v>239</v>
      </c>
      <c r="AJ62" s="34" t="s">
        <v>240</v>
      </c>
      <c r="AK62" s="7" t="s">
        <v>295</v>
      </c>
      <c r="AL62" s="7" t="s">
        <v>238</v>
      </c>
      <c r="AM62" s="7" t="s">
        <v>248</v>
      </c>
      <c r="AN62" s="7" t="s">
        <v>373</v>
      </c>
      <c r="AO62" s="7" t="s">
        <v>314</v>
      </c>
      <c r="AP62" s="7"/>
      <c r="AQ62" s="4"/>
      <c r="AR62" s="7"/>
      <c r="AS62" s="4"/>
      <c r="AT62" s="7"/>
      <c r="AU62" s="4"/>
      <c r="AV62" s="7"/>
      <c r="AW62" s="7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8" customFormat="1">
      <c r="B63" s="9" t="s">
        <v>528</v>
      </c>
      <c r="C63" s="9" t="s">
        <v>259</v>
      </c>
      <c r="D63" s="7" t="s">
        <v>14</v>
      </c>
      <c r="E63" s="6" t="s">
        <v>496</v>
      </c>
      <c r="F63" s="6" t="s">
        <v>21</v>
      </c>
      <c r="G63" s="1"/>
      <c r="H63" s="1"/>
      <c r="I63" s="1"/>
      <c r="J63" s="1"/>
      <c r="K63" s="1"/>
      <c r="L63" s="1"/>
      <c r="M63" s="6" t="s">
        <v>255</v>
      </c>
      <c r="N63" s="1" t="s">
        <v>255</v>
      </c>
      <c r="O63" s="1" t="s">
        <v>280</v>
      </c>
      <c r="P63" s="1" t="s">
        <v>293</v>
      </c>
      <c r="Q63" s="1" t="s">
        <v>298</v>
      </c>
      <c r="R63" s="6" t="s">
        <v>304</v>
      </c>
      <c r="S63" s="6" t="s">
        <v>298</v>
      </c>
      <c r="T63" s="6" t="s">
        <v>320</v>
      </c>
      <c r="U63" s="6" t="s">
        <v>320</v>
      </c>
      <c r="V63" s="1" t="s">
        <v>348</v>
      </c>
      <c r="W63" s="6" t="s">
        <v>298</v>
      </c>
      <c r="X63" s="6" t="s">
        <v>365</v>
      </c>
      <c r="Y63" s="1" t="s">
        <v>385</v>
      </c>
      <c r="Z63" s="6" t="s">
        <v>385</v>
      </c>
      <c r="AA63" s="6" t="s">
        <v>365</v>
      </c>
      <c r="AB63" s="1" t="s">
        <v>411</v>
      </c>
      <c r="AC63" s="6" t="s">
        <v>422</v>
      </c>
      <c r="AD63" s="1" t="s">
        <v>365</v>
      </c>
      <c r="AE63" s="1" t="s">
        <v>234</v>
      </c>
      <c r="AF63" s="1" t="s">
        <v>254</v>
      </c>
      <c r="AG63" s="1" t="s">
        <v>453</v>
      </c>
      <c r="AH63" s="6" t="s">
        <v>468</v>
      </c>
      <c r="AI63" s="6" t="s">
        <v>422</v>
      </c>
      <c r="AJ63" s="1" t="s">
        <v>486</v>
      </c>
      <c r="AK63" s="1" t="s">
        <v>254</v>
      </c>
      <c r="AL63" s="1" t="s">
        <v>468</v>
      </c>
      <c r="AM63" s="7" t="s">
        <v>320</v>
      </c>
      <c r="AN63" s="6" t="s">
        <v>422</v>
      </c>
      <c r="AO63" s="6" t="s">
        <v>348</v>
      </c>
      <c r="AP63" s="6" t="s">
        <v>422</v>
      </c>
      <c r="AQ63" s="1" t="s">
        <v>293</v>
      </c>
      <c r="AR63" s="6" t="s">
        <v>293</v>
      </c>
      <c r="AS63" s="6" t="s">
        <v>293</v>
      </c>
      <c r="AT63" s="6" t="s">
        <v>622</v>
      </c>
      <c r="AU63" s="1" t="s">
        <v>629</v>
      </c>
      <c r="AV63" s="1" t="s">
        <v>422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8" customFormat="1">
      <c r="A64" s="8" t="s">
        <v>694</v>
      </c>
      <c r="B64" s="9" t="s">
        <v>696</v>
      </c>
      <c r="C64" s="9" t="s">
        <v>698</v>
      </c>
      <c r="D64" s="7" t="s">
        <v>15</v>
      </c>
      <c r="E64" s="7" t="s">
        <v>496</v>
      </c>
      <c r="F64" s="7" t="s">
        <v>21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7"/>
      <c r="AR64" s="7"/>
      <c r="AS64" s="4"/>
      <c r="AT64" s="7"/>
      <c r="AU64" s="4"/>
      <c r="AV64" s="7"/>
      <c r="AW64" s="7"/>
      <c r="AX64" s="4"/>
      <c r="AY64" s="4"/>
      <c r="AZ64" s="4"/>
      <c r="BA64" s="7"/>
      <c r="BB64" s="4"/>
      <c r="BC64" s="4"/>
      <c r="BD64" s="4" t="s">
        <v>291</v>
      </c>
      <c r="BE64" s="7" t="s">
        <v>250</v>
      </c>
      <c r="BF64" s="4"/>
      <c r="BG64" s="4"/>
      <c r="BH64" s="4"/>
      <c r="BI64" s="4"/>
      <c r="BJ64" s="4"/>
      <c r="BK64" s="4"/>
      <c r="BL64" s="4" t="s">
        <v>447</v>
      </c>
      <c r="BM64" s="4" t="s">
        <v>748</v>
      </c>
      <c r="BN64" s="4" t="s">
        <v>655</v>
      </c>
      <c r="BO64" s="4" t="s">
        <v>667</v>
      </c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8" customFormat="1">
      <c r="A65" s="9" t="s">
        <v>306</v>
      </c>
      <c r="B65" s="9" t="s">
        <v>526</v>
      </c>
      <c r="C65" s="9" t="s">
        <v>397</v>
      </c>
      <c r="D65" s="7" t="s">
        <v>14</v>
      </c>
      <c r="E65" s="7" t="s">
        <v>496</v>
      </c>
      <c r="F65" s="6" t="s">
        <v>21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 t="s">
        <v>305</v>
      </c>
      <c r="S65" s="7" t="s">
        <v>311</v>
      </c>
      <c r="T65" s="4" t="s">
        <v>321</v>
      </c>
      <c r="U65" s="7" t="s">
        <v>335</v>
      </c>
      <c r="V65" s="4" t="s">
        <v>349</v>
      </c>
      <c r="W65" s="7" t="s">
        <v>354</v>
      </c>
      <c r="X65" s="4" t="s">
        <v>366</v>
      </c>
      <c r="Y65" s="4" t="s">
        <v>311</v>
      </c>
      <c r="Z65" s="7" t="s">
        <v>311</v>
      </c>
      <c r="AA65" s="4" t="s">
        <v>354</v>
      </c>
      <c r="AB65" s="4" t="s">
        <v>304</v>
      </c>
      <c r="AC65" s="7" t="s">
        <v>321</v>
      </c>
      <c r="AD65" s="4" t="s">
        <v>321</v>
      </c>
      <c r="AE65" s="7" t="s">
        <v>304</v>
      </c>
      <c r="AF65" s="4" t="s">
        <v>311</v>
      </c>
      <c r="AG65" s="4" t="s">
        <v>454</v>
      </c>
      <c r="AH65" s="7" t="s">
        <v>321</v>
      </c>
      <c r="AI65" s="7" t="s">
        <v>321</v>
      </c>
      <c r="AJ65" s="4" t="s">
        <v>311</v>
      </c>
      <c r="AK65" s="7" t="s">
        <v>494</v>
      </c>
      <c r="AL65" s="7" t="s">
        <v>311</v>
      </c>
      <c r="AM65" s="7" t="s">
        <v>311</v>
      </c>
      <c r="AN65" s="7" t="s">
        <v>454</v>
      </c>
      <c r="AO65" s="7" t="s">
        <v>311</v>
      </c>
      <c r="AP65" s="7" t="s">
        <v>311</v>
      </c>
      <c r="AQ65" s="4" t="s">
        <v>593</v>
      </c>
      <c r="AR65" s="7" t="s">
        <v>311</v>
      </c>
      <c r="AS65" s="7" t="s">
        <v>311</v>
      </c>
      <c r="AT65" s="7" t="s">
        <v>621</v>
      </c>
      <c r="AU65" s="4" t="s">
        <v>621</v>
      </c>
      <c r="AV65" s="7" t="s">
        <v>621</v>
      </c>
      <c r="AW65" s="7" t="s">
        <v>593</v>
      </c>
      <c r="AX65" s="7" t="s">
        <v>311</v>
      </c>
      <c r="AY65" s="4" t="s">
        <v>621</v>
      </c>
      <c r="AZ65" s="4" t="s">
        <v>304</v>
      </c>
      <c r="BA65" s="4" t="s">
        <v>494</v>
      </c>
      <c r="BB65" s="4" t="s">
        <v>621</v>
      </c>
      <c r="BC65" s="7" t="s">
        <v>621</v>
      </c>
      <c r="BD65" s="7" t="s">
        <v>621</v>
      </c>
      <c r="BE65" s="7" t="s">
        <v>621</v>
      </c>
      <c r="BF65" s="7" t="s">
        <v>709</v>
      </c>
      <c r="BG65" s="4" t="s">
        <v>621</v>
      </c>
      <c r="BH65" s="7" t="s">
        <v>621</v>
      </c>
      <c r="BI65" s="4" t="s">
        <v>709</v>
      </c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8" customFormat="1">
      <c r="B66" s="9"/>
      <c r="C66" s="9" t="s">
        <v>257</v>
      </c>
      <c r="D66" s="7" t="s">
        <v>14</v>
      </c>
      <c r="E66" s="6" t="s">
        <v>21</v>
      </c>
      <c r="F66" s="6" t="s">
        <v>21</v>
      </c>
      <c r="G66" s="4"/>
      <c r="H66" s="4"/>
      <c r="I66" s="4"/>
      <c r="J66" s="4"/>
      <c r="K66" s="4"/>
      <c r="L66" s="4"/>
      <c r="M66" s="7" t="s">
        <v>256</v>
      </c>
      <c r="N66" s="4" t="s">
        <v>268</v>
      </c>
      <c r="O66" s="4"/>
      <c r="P66" s="4"/>
      <c r="Q66" s="4"/>
      <c r="R66" s="4"/>
      <c r="S66" s="4"/>
      <c r="T66" s="7"/>
      <c r="U66" s="4"/>
      <c r="V66" s="4"/>
      <c r="W66" s="7"/>
      <c r="X66" s="7"/>
      <c r="Y66" s="7"/>
      <c r="Z66" s="4"/>
      <c r="AA66" s="7"/>
      <c r="AB66" s="4"/>
      <c r="AC66" s="4"/>
      <c r="AD66" s="4"/>
      <c r="AE66" s="7"/>
      <c r="AF66" s="4"/>
      <c r="AG66" s="4"/>
      <c r="AH66" s="7"/>
      <c r="AI66" s="7"/>
      <c r="AJ66" s="4"/>
      <c r="AK66" s="7"/>
      <c r="AL66" s="7"/>
      <c r="AM66" s="7"/>
      <c r="AN66" s="7"/>
      <c r="AO66" s="4"/>
      <c r="AP66" s="7"/>
      <c r="AQ66" s="4"/>
      <c r="AR66" s="4"/>
      <c r="AS66" s="4"/>
      <c r="AT66" s="7"/>
      <c r="AU66" s="4"/>
      <c r="AV66" s="7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8" customFormat="1">
      <c r="B67" s="9"/>
      <c r="C67" s="9" t="s">
        <v>294</v>
      </c>
      <c r="D67" s="7" t="s">
        <v>14</v>
      </c>
      <c r="E67" s="7" t="s">
        <v>21</v>
      </c>
      <c r="F67" s="6" t="s">
        <v>21</v>
      </c>
      <c r="G67" s="4"/>
      <c r="H67" s="4"/>
      <c r="I67" s="4"/>
      <c r="J67" s="4"/>
      <c r="K67" s="4"/>
      <c r="L67" s="4"/>
      <c r="M67" s="4"/>
      <c r="N67" s="4" t="s">
        <v>269</v>
      </c>
      <c r="O67" s="4" t="s">
        <v>58</v>
      </c>
      <c r="P67" s="4" t="s">
        <v>58</v>
      </c>
      <c r="Q67" s="7" t="s">
        <v>269</v>
      </c>
      <c r="R67" s="7"/>
      <c r="S67" s="7"/>
      <c r="T67" s="7"/>
      <c r="U67" s="7"/>
      <c r="V67" s="7"/>
      <c r="W67" s="7"/>
      <c r="X67" s="7"/>
      <c r="Y67" s="4"/>
      <c r="Z67" s="7"/>
      <c r="AA67" s="7"/>
      <c r="AB67" s="7"/>
      <c r="AC67" s="4"/>
      <c r="AD67" s="7"/>
      <c r="AE67" s="7"/>
      <c r="AF67" s="4"/>
      <c r="AG67" s="4"/>
      <c r="AH67" s="7"/>
      <c r="AI67" s="7"/>
      <c r="AJ67" s="4"/>
      <c r="AK67" s="7"/>
      <c r="AL67" s="7"/>
      <c r="AM67" s="4"/>
      <c r="AN67" s="7"/>
      <c r="AO67" s="7"/>
      <c r="AP67" s="7"/>
      <c r="AQ67" s="7"/>
      <c r="AR67" s="7"/>
      <c r="AS67" s="7"/>
      <c r="AT67" s="7"/>
      <c r="AU67" s="4"/>
      <c r="AV67" s="7"/>
      <c r="AW67" s="7"/>
      <c r="AX67" s="7"/>
      <c r="AY67" s="7"/>
      <c r="AZ67" s="7"/>
      <c r="BA67" s="7"/>
      <c r="BB67" s="4"/>
      <c r="BC67" s="4"/>
      <c r="BD67" s="7"/>
      <c r="BE67" s="4"/>
      <c r="BF67" s="7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>
      <c r="A68" s="8" t="s">
        <v>275</v>
      </c>
      <c r="B68" s="9" t="s">
        <v>513</v>
      </c>
      <c r="C68" s="9" t="s">
        <v>286</v>
      </c>
      <c r="D68" s="7" t="s">
        <v>14</v>
      </c>
      <c r="E68" s="7" t="s">
        <v>496</v>
      </c>
      <c r="F68" s="6" t="s">
        <v>21</v>
      </c>
      <c r="G68" s="4"/>
      <c r="H68" s="4"/>
      <c r="I68" s="4"/>
      <c r="J68" s="4"/>
      <c r="K68" s="4"/>
      <c r="L68" s="4"/>
      <c r="M68" s="4"/>
      <c r="N68" s="4"/>
      <c r="O68" s="4" t="s">
        <v>243</v>
      </c>
      <c r="P68" s="7" t="s">
        <v>290</v>
      </c>
      <c r="Q68" s="4" t="s">
        <v>296</v>
      </c>
      <c r="R68" s="7" t="s">
        <v>243</v>
      </c>
      <c r="S68" s="4" t="s">
        <v>310</v>
      </c>
      <c r="T68" s="7" t="s">
        <v>272</v>
      </c>
      <c r="U68" s="7" t="s">
        <v>243</v>
      </c>
      <c r="V68" s="7" t="s">
        <v>290</v>
      </c>
      <c r="W68" s="7" t="s">
        <v>296</v>
      </c>
      <c r="X68" s="7" t="s">
        <v>360</v>
      </c>
      <c r="Y68" s="4" t="s">
        <v>378</v>
      </c>
      <c r="Z68" s="7" t="s">
        <v>393</v>
      </c>
      <c r="AA68" s="7" t="s">
        <v>360</v>
      </c>
      <c r="AB68" s="4" t="s">
        <v>360</v>
      </c>
      <c r="AC68" s="4" t="s">
        <v>290</v>
      </c>
      <c r="AD68" s="4" t="s">
        <v>360</v>
      </c>
      <c r="AE68" s="4" t="s">
        <v>296</v>
      </c>
      <c r="AF68" s="4" t="s">
        <v>243</v>
      </c>
      <c r="AG68" s="4" t="s">
        <v>243</v>
      </c>
      <c r="AH68" s="7" t="s">
        <v>461</v>
      </c>
      <c r="AI68" s="7" t="s">
        <v>243</v>
      </c>
      <c r="AJ68" s="4" t="s">
        <v>483</v>
      </c>
      <c r="AK68" s="4" t="s">
        <v>243</v>
      </c>
      <c r="AL68" s="4" t="s">
        <v>360</v>
      </c>
      <c r="AM68" s="4" t="s">
        <v>360</v>
      </c>
      <c r="AN68" s="7"/>
      <c r="AO68" s="4"/>
      <c r="AP68" s="4"/>
      <c r="AQ68" s="4"/>
      <c r="AR68" s="7"/>
      <c r="AS68" s="7" t="s">
        <v>360</v>
      </c>
      <c r="AT68" s="7" t="s">
        <v>310</v>
      </c>
      <c r="AU68" s="4" t="s">
        <v>623</v>
      </c>
      <c r="AV68" s="4" t="s">
        <v>360</v>
      </c>
      <c r="AW68" s="4" t="s">
        <v>310</v>
      </c>
      <c r="AX68" s="4" t="s">
        <v>559</v>
      </c>
      <c r="AY68" s="4" t="s">
        <v>623</v>
      </c>
      <c r="AZ68" s="4" t="s">
        <v>623</v>
      </c>
      <c r="BA68" s="4" t="s">
        <v>241</v>
      </c>
      <c r="BB68" s="4" t="s">
        <v>310</v>
      </c>
      <c r="BC68" s="4" t="s">
        <v>685</v>
      </c>
      <c r="BD68" s="7" t="s">
        <v>483</v>
      </c>
      <c r="BE68" s="7" t="s">
        <v>483</v>
      </c>
      <c r="BF68" s="7"/>
      <c r="BG68" s="4"/>
      <c r="BH68" s="4"/>
      <c r="BI68" s="4"/>
      <c r="BJ68" s="4"/>
      <c r="BK68" s="4"/>
      <c r="BL68" s="4"/>
      <c r="BM68" s="4"/>
      <c r="BN68" s="4"/>
      <c r="BO68" s="4"/>
    </row>
    <row r="69" spans="1:77" s="8" customFormat="1">
      <c r="A69" s="8" t="s">
        <v>381</v>
      </c>
      <c r="B69" s="9" t="s">
        <v>548</v>
      </c>
      <c r="C69" s="9" t="s">
        <v>392</v>
      </c>
      <c r="D69" s="7" t="s">
        <v>14</v>
      </c>
      <c r="E69" s="7" t="s">
        <v>21</v>
      </c>
      <c r="F69" s="7" t="s">
        <v>21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 t="s">
        <v>377</v>
      </c>
      <c r="Z69" s="7" t="s">
        <v>377</v>
      </c>
      <c r="AA69" s="4" t="s">
        <v>377</v>
      </c>
      <c r="AB69" s="4" t="s">
        <v>377</v>
      </c>
      <c r="AC69" s="4" t="s">
        <v>377</v>
      </c>
      <c r="AD69" s="4" t="s">
        <v>377</v>
      </c>
      <c r="AE69" s="4" t="s">
        <v>377</v>
      </c>
      <c r="AF69" s="4" t="s">
        <v>441</v>
      </c>
      <c r="AG69" s="4" t="s">
        <v>441</v>
      </c>
      <c r="AH69" s="7" t="s">
        <v>236</v>
      </c>
      <c r="AI69" s="4" t="s">
        <v>377</v>
      </c>
      <c r="AJ69" s="4" t="s">
        <v>377</v>
      </c>
      <c r="AK69" s="4" t="s">
        <v>489</v>
      </c>
      <c r="AL69" s="4" t="s">
        <v>441</v>
      </c>
      <c r="AM69" s="4" t="s">
        <v>489</v>
      </c>
      <c r="AN69" s="4" t="s">
        <v>441</v>
      </c>
      <c r="AO69" s="7" t="s">
        <v>377</v>
      </c>
      <c r="AP69" s="7" t="s">
        <v>441</v>
      </c>
      <c r="AQ69" s="4" t="s">
        <v>377</v>
      </c>
      <c r="AR69" s="7" t="s">
        <v>597</v>
      </c>
      <c r="AS69" s="4" t="s">
        <v>441</v>
      </c>
      <c r="AT69" s="4" t="s">
        <v>377</v>
      </c>
      <c r="AU69" s="4" t="s">
        <v>441</v>
      </c>
      <c r="AV69" s="4" t="s">
        <v>377</v>
      </c>
      <c r="AW69" s="4" t="s">
        <v>597</v>
      </c>
      <c r="AX69" s="4" t="s">
        <v>377</v>
      </c>
      <c r="AY69" s="4" t="s">
        <v>377</v>
      </c>
      <c r="AZ69" s="7" t="s">
        <v>377</v>
      </c>
      <c r="BA69" s="4" t="s">
        <v>441</v>
      </c>
      <c r="BB69" s="4" t="s">
        <v>679</v>
      </c>
      <c r="BC69" s="4" t="s">
        <v>377</v>
      </c>
      <c r="BD69" s="4" t="s">
        <v>377</v>
      </c>
      <c r="BE69" s="7" t="s">
        <v>377</v>
      </c>
      <c r="BF69" s="4" t="s">
        <v>317</v>
      </c>
      <c r="BG69" s="4" t="s">
        <v>434</v>
      </c>
      <c r="BH69" s="4" t="s">
        <v>608</v>
      </c>
      <c r="BI69" s="4" t="s">
        <v>274</v>
      </c>
      <c r="BJ69" s="4" t="s">
        <v>434</v>
      </c>
      <c r="BK69" s="4" t="s">
        <v>274</v>
      </c>
      <c r="BL69" s="4" t="s">
        <v>649</v>
      </c>
      <c r="BM69" s="4" t="s">
        <v>649</v>
      </c>
      <c r="BN69" s="4" t="s">
        <v>434</v>
      </c>
      <c r="BO69" s="4" t="s">
        <v>274</v>
      </c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8" customFormat="1">
      <c r="B70" s="13"/>
      <c r="C70" s="9" t="s">
        <v>56</v>
      </c>
      <c r="D70" s="7" t="s">
        <v>14</v>
      </c>
      <c r="E70" s="7" t="s">
        <v>21</v>
      </c>
      <c r="F70" s="9" t="s">
        <v>21</v>
      </c>
      <c r="G70" s="4"/>
      <c r="H70" s="4"/>
      <c r="I70" s="4" t="s">
        <v>46</v>
      </c>
      <c r="J70" s="7" t="s">
        <v>46</v>
      </c>
      <c r="K70" s="4" t="s">
        <v>46</v>
      </c>
      <c r="L70" s="4" t="s">
        <v>246</v>
      </c>
      <c r="M70" s="4"/>
      <c r="N70" s="11"/>
      <c r="O70" s="4"/>
      <c r="P70" s="7"/>
      <c r="Q70" s="7"/>
      <c r="R70" s="7"/>
      <c r="S70" s="7"/>
      <c r="T70" s="7"/>
      <c r="U70" s="7"/>
      <c r="V70" s="7"/>
      <c r="W70" s="7"/>
      <c r="X70" s="4"/>
      <c r="Y70" s="4"/>
      <c r="Z70" s="7"/>
      <c r="AA70" s="7"/>
      <c r="AB70" s="7"/>
      <c r="AC70" s="4"/>
      <c r="AD70" s="7"/>
      <c r="AE70" s="4"/>
      <c r="AF70" s="4"/>
      <c r="AG70" s="7"/>
      <c r="AH70" s="7"/>
      <c r="AI70" s="7"/>
      <c r="AJ70" s="7"/>
      <c r="AK70" s="7"/>
      <c r="AL70" s="7"/>
      <c r="AM70" s="7"/>
      <c r="AN70" s="4"/>
      <c r="AO70" s="4"/>
      <c r="AP70" s="4"/>
      <c r="AQ70" s="7"/>
      <c r="AR70" s="7"/>
      <c r="AS70" s="7"/>
      <c r="AT70" s="7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8" customFormat="1">
      <c r="B71" s="9" t="s">
        <v>695</v>
      </c>
      <c r="C71" s="9" t="s">
        <v>697</v>
      </c>
      <c r="D71" s="7" t="s">
        <v>15</v>
      </c>
      <c r="E71" s="7" t="s">
        <v>496</v>
      </c>
      <c r="F71" s="7" t="s">
        <v>21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7"/>
      <c r="AR71" s="7"/>
      <c r="AS71" s="4"/>
      <c r="AT71" s="7"/>
      <c r="AU71" s="4"/>
      <c r="AV71" s="7"/>
      <c r="AW71" s="7"/>
      <c r="AX71" s="4"/>
      <c r="AY71" s="4"/>
      <c r="AZ71" s="4"/>
      <c r="BA71" s="7"/>
      <c r="BB71" s="4" t="s">
        <v>639</v>
      </c>
      <c r="BC71" s="4" t="s">
        <v>238</v>
      </c>
      <c r="BD71" s="4" t="s">
        <v>639</v>
      </c>
      <c r="BE71" s="7" t="s">
        <v>517</v>
      </c>
      <c r="BF71" s="4" t="s">
        <v>315</v>
      </c>
      <c r="BG71" s="4" t="s">
        <v>595</v>
      </c>
      <c r="BH71" s="4" t="s">
        <v>640</v>
      </c>
      <c r="BI71" s="4" t="s">
        <v>729</v>
      </c>
      <c r="BJ71" s="4" t="s">
        <v>595</v>
      </c>
      <c r="BK71" s="4" t="s">
        <v>595</v>
      </c>
      <c r="BL71" s="4" t="s">
        <v>595</v>
      </c>
      <c r="BM71" s="4"/>
      <c r="BN71" s="1" t="s">
        <v>729</v>
      </c>
      <c r="BO71" s="1" t="s">
        <v>373</v>
      </c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8" customFormat="1">
      <c r="B72" s="9" t="s">
        <v>645</v>
      </c>
      <c r="C72" s="9" t="s">
        <v>632</v>
      </c>
      <c r="D72" s="7" t="s">
        <v>14</v>
      </c>
      <c r="E72" s="7" t="s">
        <v>496</v>
      </c>
      <c r="F72" s="7" t="s">
        <v>21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7"/>
      <c r="AS72" s="1"/>
      <c r="AT72" s="7"/>
      <c r="AU72" s="4" t="s">
        <v>402</v>
      </c>
      <c r="AV72" s="4" t="s">
        <v>402</v>
      </c>
      <c r="AW72" s="7" t="s">
        <v>644</v>
      </c>
      <c r="AX72" s="7" t="s">
        <v>409</v>
      </c>
      <c r="AY72" s="4" t="s">
        <v>409</v>
      </c>
      <c r="AZ72" s="4" t="s">
        <v>564</v>
      </c>
      <c r="BA72" s="7" t="s">
        <v>420</v>
      </c>
      <c r="BB72" s="4" t="s">
        <v>680</v>
      </c>
      <c r="BC72" s="7" t="s">
        <v>564</v>
      </c>
      <c r="BD72" s="4" t="s">
        <v>692</v>
      </c>
      <c r="BE72" s="7" t="s">
        <v>401</v>
      </c>
      <c r="BF72" s="4" t="s">
        <v>292</v>
      </c>
      <c r="BG72" s="7" t="s">
        <v>714</v>
      </c>
      <c r="BH72" s="4" t="s">
        <v>692</v>
      </c>
      <c r="BI72" s="4" t="s">
        <v>519</v>
      </c>
      <c r="BJ72" s="4" t="s">
        <v>734</v>
      </c>
      <c r="BK72" s="4" t="s">
        <v>466</v>
      </c>
      <c r="BL72" s="4" t="s">
        <v>465</v>
      </c>
      <c r="BM72" s="4" t="s">
        <v>402</v>
      </c>
      <c r="BN72" s="4" t="s">
        <v>466</v>
      </c>
      <c r="BO72" s="4" t="s">
        <v>759</v>
      </c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>
      <c r="A73" s="9" t="s">
        <v>376</v>
      </c>
      <c r="B73" s="9" t="s">
        <v>499</v>
      </c>
      <c r="C73" s="9" t="s">
        <v>386</v>
      </c>
      <c r="D73" s="7" t="s">
        <v>14</v>
      </c>
      <c r="E73" s="7" t="s">
        <v>496</v>
      </c>
      <c r="F73" s="7" t="s">
        <v>21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 t="s">
        <v>374</v>
      </c>
      <c r="Z73" s="7" t="s">
        <v>374</v>
      </c>
      <c r="AA73" s="4" t="s">
        <v>374</v>
      </c>
      <c r="AB73" s="7" t="s">
        <v>374</v>
      </c>
      <c r="AC73" s="4" t="s">
        <v>316</v>
      </c>
      <c r="AD73" s="7" t="s">
        <v>427</v>
      </c>
      <c r="AE73" s="4" t="s">
        <v>374</v>
      </c>
      <c r="AF73" s="4" t="s">
        <v>398</v>
      </c>
      <c r="AG73" s="7" t="s">
        <v>375</v>
      </c>
      <c r="AH73" s="7" t="s">
        <v>375</v>
      </c>
      <c r="AI73" s="4" t="s">
        <v>475</v>
      </c>
      <c r="AJ73" s="7" t="s">
        <v>398</v>
      </c>
      <c r="AK73" s="7" t="s">
        <v>273</v>
      </c>
      <c r="AL73" s="7" t="s">
        <v>327</v>
      </c>
      <c r="AM73" s="7" t="s">
        <v>316</v>
      </c>
      <c r="AN73" s="4" t="s">
        <v>374</v>
      </c>
      <c r="AO73" s="7" t="s">
        <v>427</v>
      </c>
      <c r="AP73" s="7" t="s">
        <v>374</v>
      </c>
      <c r="AQ73" s="7" t="s">
        <v>307</v>
      </c>
      <c r="AR73" s="7" t="s">
        <v>307</v>
      </c>
      <c r="AS73" s="7" t="s">
        <v>327</v>
      </c>
      <c r="AT73" s="7" t="s">
        <v>327</v>
      </c>
      <c r="AU73" s="4" t="s">
        <v>398</v>
      </c>
      <c r="AV73" s="7" t="s">
        <v>343</v>
      </c>
      <c r="AW73" s="7" t="s">
        <v>641</v>
      </c>
      <c r="AX73" s="4" t="s">
        <v>327</v>
      </c>
      <c r="AY73" s="7" t="s">
        <v>316</v>
      </c>
      <c r="AZ73" s="7" t="s">
        <v>343</v>
      </c>
      <c r="BA73" s="7" t="s">
        <v>641</v>
      </c>
      <c r="BB73" s="4" t="s">
        <v>272</v>
      </c>
      <c r="BC73" s="4"/>
      <c r="BD73" s="7"/>
      <c r="BE73" s="4"/>
      <c r="BF73" s="7"/>
      <c r="BG73" s="4"/>
      <c r="BH73" s="4"/>
      <c r="BI73" s="4"/>
      <c r="BJ73" s="7"/>
      <c r="BK73" s="4"/>
      <c r="BL73" s="4"/>
      <c r="BM73" s="4"/>
      <c r="BN73" s="4"/>
      <c r="BO73" s="4"/>
    </row>
    <row r="74" spans="1:77">
      <c r="B74" s="9"/>
      <c r="C74" s="9" t="s">
        <v>285</v>
      </c>
      <c r="D74" s="7" t="s">
        <v>14</v>
      </c>
      <c r="E74" s="7" t="s">
        <v>21</v>
      </c>
      <c r="F74" s="6" t="s">
        <v>21</v>
      </c>
      <c r="O74" s="1" t="s">
        <v>281</v>
      </c>
      <c r="P74" s="1" t="s">
        <v>281</v>
      </c>
      <c r="Q74" s="1" t="s">
        <v>272</v>
      </c>
      <c r="U74" s="6"/>
      <c r="AA74" s="6"/>
      <c r="AR74" s="6"/>
    </row>
    <row r="75" spans="1:77">
      <c r="A75" s="9"/>
      <c r="B75" s="9"/>
      <c r="C75" s="9" t="s">
        <v>704</v>
      </c>
      <c r="D75" s="6" t="s">
        <v>14</v>
      </c>
      <c r="E75" s="6" t="s">
        <v>21</v>
      </c>
      <c r="F75" s="6" t="s">
        <v>21</v>
      </c>
      <c r="AP75" s="6"/>
      <c r="AX75" s="6"/>
      <c r="BE75" s="6" t="s">
        <v>703</v>
      </c>
    </row>
    <row r="76" spans="1:77">
      <c r="A76" s="9"/>
      <c r="B76" s="9"/>
      <c r="C76" s="9" t="s">
        <v>704</v>
      </c>
      <c r="D76" s="6" t="s">
        <v>14</v>
      </c>
      <c r="E76" s="6" t="s">
        <v>21</v>
      </c>
      <c r="F76" s="6" t="s">
        <v>21</v>
      </c>
      <c r="AP76" s="6"/>
      <c r="AQ76" s="6"/>
      <c r="AT76" s="6"/>
      <c r="AV76" s="6"/>
      <c r="AX76" s="6"/>
      <c r="BE76" s="6" t="s">
        <v>706</v>
      </c>
      <c r="BF76" s="6"/>
      <c r="BH76" s="6"/>
      <c r="BJ76" s="6"/>
      <c r="BL76" s="6"/>
    </row>
    <row r="77" spans="1:77" s="8" customFormat="1">
      <c r="A77" s="9"/>
      <c r="B77" s="9" t="s">
        <v>524</v>
      </c>
      <c r="C77" s="7" t="s">
        <v>470</v>
      </c>
      <c r="D77" s="7" t="s">
        <v>14</v>
      </c>
      <c r="E77" s="6" t="s">
        <v>496</v>
      </c>
      <c r="F77" s="6" t="s">
        <v>21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 t="s">
        <v>467</v>
      </c>
      <c r="AI77" s="4" t="s">
        <v>467</v>
      </c>
      <c r="AJ77" s="4" t="s">
        <v>467</v>
      </c>
      <c r="AK77" s="4" t="s">
        <v>493</v>
      </c>
      <c r="AL77" s="7" t="s">
        <v>508</v>
      </c>
      <c r="AM77" s="7" t="s">
        <v>493</v>
      </c>
      <c r="AN77" s="7" t="s">
        <v>540</v>
      </c>
      <c r="AO77" s="7" t="s">
        <v>467</v>
      </c>
      <c r="AP77" s="7" t="s">
        <v>467</v>
      </c>
      <c r="AQ77" s="4" t="s">
        <v>592</v>
      </c>
      <c r="AR77" s="7" t="s">
        <v>592</v>
      </c>
      <c r="AS77" s="7" t="s">
        <v>612</v>
      </c>
      <c r="AT77" s="7" t="s">
        <v>467</v>
      </c>
      <c r="AU77" s="4" t="s">
        <v>628</v>
      </c>
      <c r="AV77" s="7" t="s">
        <v>467</v>
      </c>
      <c r="AW77" s="4" t="s">
        <v>628</v>
      </c>
      <c r="AX77" s="6" t="s">
        <v>467</v>
      </c>
      <c r="AY77" s="4" t="s">
        <v>493</v>
      </c>
      <c r="AZ77" s="4" t="s">
        <v>493</v>
      </c>
      <c r="BA77" s="7" t="s">
        <v>493</v>
      </c>
      <c r="BB77" s="7" t="s">
        <v>493</v>
      </c>
      <c r="BC77" s="7" t="s">
        <v>493</v>
      </c>
      <c r="BD77" s="7" t="s">
        <v>280</v>
      </c>
      <c r="BE77" s="7" t="s">
        <v>592</v>
      </c>
      <c r="BF77" s="7" t="s">
        <v>708</v>
      </c>
      <c r="BG77" s="7"/>
      <c r="BH77" s="4"/>
      <c r="BI77" s="4"/>
      <c r="BJ77" s="7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</row>
    <row r="78" spans="1:77">
      <c r="A78" s="9" t="s">
        <v>403</v>
      </c>
      <c r="B78" s="9" t="s">
        <v>525</v>
      </c>
      <c r="C78" s="9" t="s">
        <v>424</v>
      </c>
      <c r="D78" s="7" t="s">
        <v>14</v>
      </c>
      <c r="E78" s="7" t="s">
        <v>496</v>
      </c>
      <c r="F78" s="6" t="s">
        <v>21</v>
      </c>
      <c r="G78" s="4"/>
      <c r="H78" s="4"/>
      <c r="I78" s="4"/>
      <c r="J78" s="4"/>
      <c r="K78" s="4"/>
      <c r="L78" s="4"/>
      <c r="M78" s="4"/>
      <c r="N78" s="4"/>
      <c r="O78" s="4"/>
      <c r="P78" s="4" t="s">
        <v>43</v>
      </c>
      <c r="Q78" s="4" t="s">
        <v>43</v>
      </c>
      <c r="R78" s="7" t="s">
        <v>43</v>
      </c>
      <c r="S78" s="7" t="s">
        <v>43</v>
      </c>
      <c r="T78" s="4" t="s">
        <v>43</v>
      </c>
      <c r="U78" s="4"/>
      <c r="V78" s="4"/>
      <c r="W78" s="7" t="s">
        <v>43</v>
      </c>
      <c r="X78" s="4"/>
      <c r="Y78" s="4" t="s">
        <v>43</v>
      </c>
      <c r="Z78" s="4" t="s">
        <v>43</v>
      </c>
      <c r="AA78" s="7" t="s">
        <v>272</v>
      </c>
      <c r="AB78" s="7" t="s">
        <v>43</v>
      </c>
      <c r="AC78" s="4"/>
      <c r="AD78" s="7" t="s">
        <v>401</v>
      </c>
      <c r="AE78" s="4" t="s">
        <v>28</v>
      </c>
      <c r="AF78" s="4" t="s">
        <v>28</v>
      </c>
      <c r="AG78" s="4" t="s">
        <v>28</v>
      </c>
      <c r="AH78" s="4" t="s">
        <v>463</v>
      </c>
      <c r="AI78" s="4" t="s">
        <v>419</v>
      </c>
      <c r="AJ78" s="4" t="s">
        <v>484</v>
      </c>
      <c r="AK78" s="7" t="s">
        <v>490</v>
      </c>
      <c r="AL78" s="7" t="s">
        <v>419</v>
      </c>
      <c r="AM78" s="7" t="s">
        <v>520</v>
      </c>
      <c r="AN78" s="7" t="s">
        <v>465</v>
      </c>
      <c r="AO78" s="7" t="s">
        <v>465</v>
      </c>
      <c r="AP78" s="7" t="s">
        <v>465</v>
      </c>
      <c r="AQ78" s="7" t="s">
        <v>245</v>
      </c>
      <c r="AR78" s="7" t="s">
        <v>465</v>
      </c>
      <c r="AS78" s="7"/>
      <c r="AT78" s="7" t="s">
        <v>519</v>
      </c>
      <c r="AU78" s="4" t="s">
        <v>627</v>
      </c>
      <c r="AV78" s="7" t="s">
        <v>479</v>
      </c>
      <c r="AW78" s="7" t="s">
        <v>519</v>
      </c>
      <c r="AX78" s="7" t="s">
        <v>292</v>
      </c>
      <c r="AY78" s="7" t="s">
        <v>627</v>
      </c>
      <c r="AZ78" s="7" t="s">
        <v>419</v>
      </c>
      <c r="BA78" s="7" t="s">
        <v>479</v>
      </c>
      <c r="BB78" s="4" t="s">
        <v>419</v>
      </c>
      <c r="BC78" s="7" t="s">
        <v>419</v>
      </c>
      <c r="BD78" s="7" t="s">
        <v>479</v>
      </c>
      <c r="BE78" s="7" t="s">
        <v>465</v>
      </c>
      <c r="BF78" s="7" t="s">
        <v>28</v>
      </c>
      <c r="BG78" s="7" t="s">
        <v>715</v>
      </c>
      <c r="BH78" s="7" t="s">
        <v>724</v>
      </c>
      <c r="BI78" s="4" t="s">
        <v>419</v>
      </c>
      <c r="BJ78" s="7" t="s">
        <v>419</v>
      </c>
      <c r="BK78" s="4" t="s">
        <v>463</v>
      </c>
      <c r="BL78" s="4"/>
      <c r="BM78" s="4"/>
      <c r="BN78" s="4"/>
      <c r="BO78" s="4"/>
    </row>
    <row r="79" spans="1:77">
      <c r="A79" s="9" t="s">
        <v>451</v>
      </c>
      <c r="B79" s="9" t="s">
        <v>527</v>
      </c>
      <c r="C79" s="9" t="s">
        <v>270</v>
      </c>
      <c r="D79" s="7" t="s">
        <v>14</v>
      </c>
      <c r="E79" s="7" t="s">
        <v>496</v>
      </c>
      <c r="F79" s="9" t="s">
        <v>21</v>
      </c>
      <c r="G79" s="4" t="s">
        <v>28</v>
      </c>
      <c r="H79" s="4" t="s">
        <v>28</v>
      </c>
      <c r="I79" s="4" t="s">
        <v>45</v>
      </c>
      <c r="J79" s="7" t="s">
        <v>55</v>
      </c>
      <c r="K79" s="4" t="s">
        <v>234</v>
      </c>
      <c r="L79" s="4" t="s">
        <v>245</v>
      </c>
      <c r="M79" s="7" t="s">
        <v>254</v>
      </c>
      <c r="N79" s="7" t="s">
        <v>267</v>
      </c>
      <c r="O79" s="4" t="s">
        <v>278</v>
      </c>
      <c r="P79" s="4" t="s">
        <v>292</v>
      </c>
      <c r="Q79" s="7" t="s">
        <v>297</v>
      </c>
      <c r="R79" s="7" t="s">
        <v>45</v>
      </c>
      <c r="S79" s="7" t="s">
        <v>45</v>
      </c>
      <c r="T79" s="7" t="s">
        <v>319</v>
      </c>
      <c r="U79" s="7" t="s">
        <v>334</v>
      </c>
      <c r="V79" s="7" t="s">
        <v>278</v>
      </c>
      <c r="W79" s="7" t="s">
        <v>278</v>
      </c>
      <c r="X79" s="4" t="s">
        <v>362</v>
      </c>
      <c r="Y79" s="4" t="s">
        <v>384</v>
      </c>
      <c r="Z79" s="7" t="s">
        <v>362</v>
      </c>
      <c r="AA79" s="7" t="s">
        <v>297</v>
      </c>
      <c r="AB79" s="7" t="s">
        <v>334</v>
      </c>
      <c r="AC79" s="7" t="s">
        <v>292</v>
      </c>
      <c r="AD79" s="7" t="s">
        <v>384</v>
      </c>
      <c r="AE79" s="4" t="s">
        <v>297</v>
      </c>
      <c r="AF79" s="4" t="s">
        <v>445</v>
      </c>
      <c r="AG79" s="7" t="s">
        <v>278</v>
      </c>
      <c r="AH79" s="4" t="s">
        <v>464</v>
      </c>
      <c r="AI79" s="4" t="s">
        <v>479</v>
      </c>
      <c r="AJ79" s="7" t="s">
        <v>334</v>
      </c>
      <c r="AK79" s="7" t="s">
        <v>334</v>
      </c>
      <c r="AL79" s="7" t="s">
        <v>22</v>
      </c>
      <c r="AM79" s="4" t="s">
        <v>519</v>
      </c>
      <c r="AN79" s="4" t="s">
        <v>319</v>
      </c>
      <c r="AO79" s="7" t="s">
        <v>563</v>
      </c>
      <c r="AP79" s="7" t="s">
        <v>22</v>
      </c>
      <c r="AQ79" s="4" t="s">
        <v>588</v>
      </c>
      <c r="AR79" s="7" t="s">
        <v>297</v>
      </c>
      <c r="AS79" s="7" t="s">
        <v>519</v>
      </c>
      <c r="AT79" s="4"/>
      <c r="AU79" s="4"/>
      <c r="AV79" s="7"/>
      <c r="AW79" s="7"/>
      <c r="AX79" s="7"/>
      <c r="AY79" s="4"/>
      <c r="AZ79" s="4"/>
      <c r="BA79" s="4"/>
      <c r="BB79" s="4"/>
      <c r="BC79" s="4"/>
      <c r="BD79" s="7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</row>
    <row r="80" spans="1:77">
      <c r="A80" s="9"/>
      <c r="B80" s="9" t="s">
        <v>516</v>
      </c>
      <c r="C80" s="9" t="s">
        <v>578</v>
      </c>
      <c r="D80" s="7" t="s">
        <v>16</v>
      </c>
      <c r="E80" s="7" t="s">
        <v>496</v>
      </c>
      <c r="F80" s="7" t="s">
        <v>21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 t="s">
        <v>364</v>
      </c>
      <c r="Y80" s="4" t="s">
        <v>364</v>
      </c>
      <c r="Z80" s="7" t="s">
        <v>364</v>
      </c>
      <c r="AA80" s="7" t="s">
        <v>364</v>
      </c>
      <c r="AB80" s="7" t="s">
        <v>364</v>
      </c>
      <c r="AC80" s="7" t="s">
        <v>364</v>
      </c>
      <c r="AD80" s="7" t="s">
        <v>364</v>
      </c>
      <c r="AE80" s="4" t="s">
        <v>437</v>
      </c>
      <c r="AF80" s="4" t="s">
        <v>446</v>
      </c>
      <c r="AG80" s="7" t="s">
        <v>446</v>
      </c>
      <c r="AH80" s="4" t="s">
        <v>465</v>
      </c>
      <c r="AI80" s="4" t="s">
        <v>364</v>
      </c>
      <c r="AJ80" s="4" t="s">
        <v>485</v>
      </c>
      <c r="AK80" s="4" t="s">
        <v>364</v>
      </c>
      <c r="AL80" s="4" t="s">
        <v>507</v>
      </c>
      <c r="AM80" s="4" t="s">
        <v>485</v>
      </c>
      <c r="AN80" s="4" t="s">
        <v>446</v>
      </c>
      <c r="AO80" s="7" t="s">
        <v>364</v>
      </c>
      <c r="AP80" s="7" t="s">
        <v>364</v>
      </c>
      <c r="AQ80" s="4" t="s">
        <v>590</v>
      </c>
      <c r="AR80" s="7" t="s">
        <v>599</v>
      </c>
      <c r="AS80" s="7" t="s">
        <v>364</v>
      </c>
      <c r="AT80" s="7" t="s">
        <v>485</v>
      </c>
      <c r="AU80" s="4" t="s">
        <v>364</v>
      </c>
      <c r="AV80" s="7" t="s">
        <v>636</v>
      </c>
      <c r="AW80" s="7" t="s">
        <v>636</v>
      </c>
      <c r="AX80" s="7" t="s">
        <v>364</v>
      </c>
      <c r="AY80" s="4" t="s">
        <v>660</v>
      </c>
      <c r="AZ80" s="7"/>
      <c r="BA80" s="7" t="s">
        <v>364</v>
      </c>
      <c r="BB80" s="4" t="s">
        <v>485</v>
      </c>
      <c r="BC80" s="4"/>
      <c r="BD80" s="7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</row>
    <row r="81" spans="1:67">
      <c r="B81" s="9"/>
      <c r="C81" s="9" t="s">
        <v>59</v>
      </c>
      <c r="D81" s="7" t="s">
        <v>20</v>
      </c>
      <c r="E81" s="7" t="s">
        <v>21</v>
      </c>
      <c r="F81" s="9" t="s">
        <v>21</v>
      </c>
      <c r="G81" s="4"/>
      <c r="H81" s="4"/>
      <c r="I81" s="4"/>
      <c r="J81" s="7" t="s">
        <v>58</v>
      </c>
      <c r="K81" s="4"/>
      <c r="L81" s="4"/>
      <c r="M81" s="4"/>
      <c r="N81" s="7"/>
      <c r="O81" s="4"/>
      <c r="P81" s="4"/>
      <c r="Q81" s="4"/>
      <c r="R81" s="7"/>
      <c r="S81" s="7"/>
      <c r="T81" s="4"/>
      <c r="U81" s="4"/>
      <c r="V81" s="4"/>
      <c r="W81" s="7"/>
      <c r="X81" s="4"/>
      <c r="Y81" s="4"/>
      <c r="Z81" s="7"/>
      <c r="AA81" s="7"/>
      <c r="AB81" s="7"/>
      <c r="AC81" s="4"/>
      <c r="AD81" s="7"/>
      <c r="AE81" s="4"/>
      <c r="AF81" s="4"/>
      <c r="AG81" s="4"/>
      <c r="AH81" s="4"/>
      <c r="AI81" s="4"/>
      <c r="AJ81" s="4"/>
      <c r="AK81" s="7"/>
      <c r="AL81" s="4"/>
      <c r="AM81" s="7"/>
      <c r="AN81" s="7"/>
      <c r="AO81" s="7"/>
      <c r="AP81" s="7"/>
      <c r="AQ81" s="4"/>
      <c r="AR81" s="7"/>
      <c r="AS81" s="7"/>
      <c r="AT81" s="7"/>
      <c r="AU81" s="4"/>
      <c r="AV81" s="7"/>
      <c r="AW81" s="7"/>
      <c r="AX81" s="7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</row>
    <row r="82" spans="1:67">
      <c r="B82" s="9" t="s">
        <v>725</v>
      </c>
      <c r="C82" s="9" t="s">
        <v>718</v>
      </c>
      <c r="D82" s="6" t="s">
        <v>14</v>
      </c>
      <c r="E82" s="6" t="s">
        <v>496</v>
      </c>
      <c r="F82" s="6" t="s">
        <v>21</v>
      </c>
      <c r="AR82" s="6"/>
      <c r="AS82" s="6"/>
      <c r="AT82" s="6"/>
      <c r="AV82" s="7"/>
      <c r="AW82" s="6"/>
      <c r="AX82" s="6"/>
      <c r="BA82" s="6"/>
      <c r="BC82" s="6"/>
      <c r="BE82" s="6"/>
      <c r="BG82" s="6" t="s">
        <v>43</v>
      </c>
      <c r="BH82" s="6" t="s">
        <v>263</v>
      </c>
      <c r="BI82" s="1" t="s">
        <v>43</v>
      </c>
      <c r="BK82" s="6"/>
      <c r="BL82" s="6"/>
    </row>
    <row r="83" spans="1:67">
      <c r="A83" s="9"/>
      <c r="B83" s="9" t="s">
        <v>737</v>
      </c>
      <c r="C83" s="9" t="s">
        <v>726</v>
      </c>
      <c r="D83" s="6" t="s">
        <v>14</v>
      </c>
      <c r="E83" s="6" t="s">
        <v>496</v>
      </c>
      <c r="F83" s="6" t="s">
        <v>21</v>
      </c>
      <c r="AR83" s="6"/>
      <c r="AT83" s="6"/>
      <c r="AV83" s="6"/>
      <c r="AW83" s="6"/>
      <c r="BA83" s="6"/>
      <c r="BF83" s="6"/>
      <c r="BG83" s="1" t="s">
        <v>458</v>
      </c>
      <c r="BH83" s="1" t="s">
        <v>722</v>
      </c>
      <c r="BI83" s="1" t="s">
        <v>295</v>
      </c>
      <c r="BJ83" s="1" t="s">
        <v>50</v>
      </c>
      <c r="BK83" s="1" t="s">
        <v>238</v>
      </c>
      <c r="BL83" s="1" t="s">
        <v>295</v>
      </c>
      <c r="BM83" s="1" t="s">
        <v>238</v>
      </c>
      <c r="BO83" s="1" t="s">
        <v>238</v>
      </c>
    </row>
    <row r="84" spans="1:67">
      <c r="A84" s="9"/>
      <c r="B84" s="9"/>
      <c r="C84" s="9" t="s">
        <v>716</v>
      </c>
      <c r="D84" s="6" t="s">
        <v>14</v>
      </c>
      <c r="E84" s="6" t="s">
        <v>21</v>
      </c>
      <c r="F84" s="6" t="s">
        <v>21</v>
      </c>
      <c r="AR84" s="6"/>
      <c r="AV84" s="6"/>
      <c r="BF84" s="6"/>
      <c r="BG84" s="6" t="s">
        <v>35</v>
      </c>
      <c r="BH84" s="6"/>
      <c r="BJ84" s="6"/>
    </row>
    <row r="85" spans="1:67">
      <c r="B85" s="9"/>
      <c r="C85" s="9" t="s">
        <v>716</v>
      </c>
      <c r="D85" s="6" t="s">
        <v>14</v>
      </c>
      <c r="E85" s="6" t="s">
        <v>21</v>
      </c>
      <c r="F85" s="6" t="s">
        <v>21</v>
      </c>
      <c r="AQ85" s="6"/>
      <c r="AR85" s="6"/>
      <c r="AT85" s="6"/>
      <c r="AV85" s="6"/>
      <c r="AW85" s="6"/>
      <c r="AX85" s="6"/>
      <c r="BA85" s="6"/>
      <c r="BB85" s="6"/>
      <c r="BC85" s="6"/>
      <c r="BE85" s="6"/>
      <c r="BH85" s="1" t="s">
        <v>720</v>
      </c>
    </row>
    <row r="86" spans="1:67">
      <c r="B86" s="9" t="s">
        <v>738</v>
      </c>
      <c r="C86" s="9" t="s">
        <v>735</v>
      </c>
      <c r="D86" s="6" t="s">
        <v>14</v>
      </c>
      <c r="E86" s="6" t="s">
        <v>496</v>
      </c>
      <c r="F86" s="6" t="s">
        <v>21</v>
      </c>
      <c r="AR86" s="6"/>
      <c r="AS86" s="6"/>
      <c r="AV86" s="6"/>
      <c r="BJ86" s="1" t="s">
        <v>460</v>
      </c>
      <c r="BK86" s="1" t="s">
        <v>740</v>
      </c>
      <c r="BL86" s="1" t="s">
        <v>53</v>
      </c>
      <c r="BM86" s="1" t="s">
        <v>460</v>
      </c>
      <c r="BN86" s="1" t="s">
        <v>449</v>
      </c>
      <c r="BO86" s="1" t="s">
        <v>740</v>
      </c>
    </row>
    <row r="87" spans="1:67">
      <c r="A87" s="9"/>
      <c r="B87" s="9" t="s">
        <v>739</v>
      </c>
      <c r="C87" s="12" t="s">
        <v>736</v>
      </c>
      <c r="D87" s="6" t="s">
        <v>14</v>
      </c>
      <c r="E87" s="6" t="s">
        <v>496</v>
      </c>
      <c r="F87" s="6" t="s">
        <v>21</v>
      </c>
      <c r="AR87" s="6"/>
      <c r="AT87" s="6"/>
      <c r="AV87" s="6"/>
      <c r="AW87" s="6"/>
      <c r="AX87" s="6"/>
      <c r="BA87" s="6"/>
      <c r="BJ87" s="1" t="s">
        <v>521</v>
      </c>
      <c r="BK87" s="1" t="s">
        <v>234</v>
      </c>
      <c r="BL87" s="1" t="s">
        <v>747</v>
      </c>
      <c r="BM87" s="1" t="s">
        <v>385</v>
      </c>
      <c r="BN87" s="1" t="s">
        <v>681</v>
      </c>
      <c r="BO87" s="1" t="s">
        <v>255</v>
      </c>
    </row>
    <row r="88" spans="1:67">
      <c r="B88" s="9" t="s">
        <v>743</v>
      </c>
      <c r="C88" s="9" t="s">
        <v>753</v>
      </c>
      <c r="D88" s="6" t="s">
        <v>15</v>
      </c>
      <c r="E88" s="6" t="s">
        <v>496</v>
      </c>
      <c r="F88" s="6" t="s">
        <v>21</v>
      </c>
      <c r="AS88" s="6"/>
      <c r="AT88" s="6"/>
      <c r="AW88" s="6"/>
      <c r="BF88" s="6"/>
      <c r="BG88" s="6"/>
      <c r="BJ88" s="6"/>
      <c r="BK88" s="1" t="s">
        <v>364</v>
      </c>
      <c r="BL88" s="1" t="s">
        <v>733</v>
      </c>
      <c r="BM88" s="1" t="s">
        <v>277</v>
      </c>
      <c r="BN88" s="1" t="s">
        <v>733</v>
      </c>
      <c r="BO88" s="1" t="s">
        <v>757</v>
      </c>
    </row>
    <row r="89" spans="1:67">
      <c r="A89" s="8" t="s">
        <v>749</v>
      </c>
      <c r="B89" s="9" t="s">
        <v>752</v>
      </c>
      <c r="C89" s="9" t="s">
        <v>754</v>
      </c>
      <c r="D89" s="6" t="s">
        <v>16</v>
      </c>
      <c r="E89" s="6" t="s">
        <v>496</v>
      </c>
      <c r="F89" s="6" t="s">
        <v>21</v>
      </c>
      <c r="AT89" s="6"/>
      <c r="AW89" s="6"/>
      <c r="BA89" s="6"/>
      <c r="BF89" s="6"/>
      <c r="BM89" s="1" t="s">
        <v>728</v>
      </c>
      <c r="BN89" s="1" t="s">
        <v>339</v>
      </c>
      <c r="BO89" s="1" t="s">
        <v>24</v>
      </c>
    </row>
    <row r="90" spans="1:67">
      <c r="A90" s="9" t="s">
        <v>750</v>
      </c>
      <c r="B90" s="9" t="s">
        <v>751</v>
      </c>
      <c r="C90" s="9" t="s">
        <v>755</v>
      </c>
      <c r="D90" s="6" t="s">
        <v>14</v>
      </c>
      <c r="E90" s="6" t="s">
        <v>496</v>
      </c>
      <c r="F90" s="6" t="s">
        <v>21</v>
      </c>
      <c r="AT90" s="6"/>
      <c r="AU90" s="6"/>
      <c r="AV90" s="6"/>
      <c r="AW90" s="6"/>
      <c r="AX90" s="6"/>
      <c r="AZ90" s="6"/>
      <c r="BA90" s="6"/>
      <c r="BB90" s="6"/>
      <c r="BC90" s="6"/>
      <c r="BF90" s="6"/>
      <c r="BM90" s="1" t="s">
        <v>445</v>
      </c>
      <c r="BO90" s="1" t="s">
        <v>563</v>
      </c>
    </row>
    <row r="91" spans="1:67">
      <c r="A91" s="12"/>
      <c r="B91" s="9"/>
      <c r="D91" s="6" t="s">
        <v>14</v>
      </c>
      <c r="E91" s="6"/>
      <c r="F91" s="6"/>
      <c r="AW91" s="6"/>
      <c r="AX91" s="6"/>
      <c r="BK91" s="6"/>
      <c r="BO91" s="1" t="s">
        <v>594</v>
      </c>
    </row>
    <row r="93" spans="1:67">
      <c r="B93" s="9"/>
      <c r="D93" s="6"/>
      <c r="E93" s="6"/>
      <c r="F93" s="6"/>
      <c r="G93" s="6"/>
      <c r="AV93" s="6"/>
      <c r="AW93" s="6"/>
      <c r="AX93" s="6"/>
      <c r="BF93" s="6"/>
      <c r="BG93" s="6"/>
      <c r="BH93" s="6"/>
      <c r="BJ93" s="6"/>
    </row>
    <row r="94" spans="1:67">
      <c r="A94" s="9"/>
      <c r="B94" s="9"/>
      <c r="D94" s="6"/>
      <c r="E94" s="6"/>
      <c r="F94" s="6"/>
      <c r="AU94" s="6"/>
      <c r="AW94" s="6"/>
      <c r="BF94" s="6"/>
    </row>
    <row r="95" spans="1:67">
      <c r="A95" s="9"/>
      <c r="B95" s="9"/>
      <c r="D95" s="6"/>
      <c r="E95" s="6"/>
      <c r="F95" s="6"/>
      <c r="AU95" s="6"/>
      <c r="AW95" s="6"/>
      <c r="BF95" s="6"/>
      <c r="BG95" s="6"/>
      <c r="BH95" s="6"/>
      <c r="BJ95" s="6"/>
      <c r="BK95" s="6"/>
    </row>
    <row r="96" spans="1:67">
      <c r="B96" s="9"/>
      <c r="D96" s="6"/>
      <c r="E96" s="6"/>
      <c r="F96" s="6"/>
      <c r="AV96" s="6"/>
      <c r="AW96" s="6"/>
      <c r="AX96" s="6"/>
      <c r="BF96" s="6"/>
    </row>
    <row r="97" spans="1:77">
      <c r="B97" s="9"/>
      <c r="D97" s="6"/>
      <c r="E97" s="6"/>
      <c r="F97" s="6"/>
      <c r="AV97" s="6"/>
      <c r="AW97" s="6"/>
      <c r="BA97" s="6"/>
      <c r="BB97" s="6"/>
      <c r="BC97" s="6"/>
      <c r="BE97" s="6"/>
      <c r="BG97" s="6"/>
      <c r="BH97" s="6"/>
      <c r="BK97" s="6"/>
      <c r="BL97" s="6"/>
    </row>
    <row r="98" spans="1:77">
      <c r="A98" s="9"/>
      <c r="B98" s="9"/>
      <c r="D98" s="6"/>
      <c r="E98" s="6"/>
      <c r="F98" s="6"/>
      <c r="AV98" s="6"/>
      <c r="AW98" s="6"/>
      <c r="AX98" s="6"/>
      <c r="BF98" s="6"/>
      <c r="BG98" s="6"/>
      <c r="BL98" s="6"/>
    </row>
    <row r="99" spans="1:77">
      <c r="A99" s="12"/>
      <c r="B99" s="9"/>
      <c r="D99" s="6"/>
      <c r="E99" s="6"/>
      <c r="F99" s="6"/>
      <c r="AV99" s="6"/>
      <c r="AW99" s="6"/>
      <c r="AX99" s="6"/>
      <c r="BF99" s="4"/>
      <c r="BG99" s="6"/>
    </row>
    <row r="100" spans="1:77">
      <c r="A100" s="9"/>
      <c r="B100" s="9"/>
      <c r="D100" s="6"/>
      <c r="E100" s="6"/>
      <c r="F100" s="6"/>
      <c r="AV100" s="6"/>
      <c r="AW100" s="6"/>
      <c r="AX100" s="6"/>
      <c r="BA100" s="6"/>
      <c r="BB100" s="6"/>
      <c r="BC100" s="6"/>
      <c r="BE100" s="6"/>
      <c r="BG100" s="6"/>
      <c r="BI100" s="6"/>
    </row>
    <row r="101" spans="1:77">
      <c r="A101" s="9"/>
      <c r="B101" s="9"/>
      <c r="D101" s="6"/>
      <c r="E101" s="6"/>
      <c r="F101" s="6"/>
      <c r="AV101" s="6"/>
      <c r="AW101" s="6"/>
      <c r="AX101" s="6"/>
      <c r="BD101" s="6"/>
      <c r="BH101" s="6"/>
    </row>
    <row r="102" spans="1:77">
      <c r="A102" s="9"/>
      <c r="B102" s="25"/>
      <c r="D102" s="6"/>
      <c r="E102" s="6"/>
      <c r="F102" s="6"/>
      <c r="BF102" s="6"/>
      <c r="BH102" s="6"/>
    </row>
    <row r="103" spans="1:77" s="29" customFormat="1">
      <c r="A103" s="24"/>
      <c r="B103" s="25"/>
      <c r="C103" s="26"/>
      <c r="D103" s="6"/>
      <c r="E103" s="6"/>
      <c r="F103" s="6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7"/>
      <c r="AX103" s="28"/>
      <c r="AY103" s="28"/>
      <c r="AZ103" s="27"/>
      <c r="BA103" s="28"/>
      <c r="BB103" s="28"/>
      <c r="BC103" s="28"/>
      <c r="BD103" s="28"/>
      <c r="BE103" s="28"/>
      <c r="BF103" s="27"/>
      <c r="BG103" s="28"/>
      <c r="BH103" s="28"/>
      <c r="BI103" s="28"/>
      <c r="BJ103" s="1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</row>
    <row r="104" spans="1:77" s="23" customFormat="1">
      <c r="A104" s="20"/>
      <c r="B104" s="21"/>
      <c r="C104" s="22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6"/>
      <c r="AX104" s="6"/>
      <c r="AY104" s="1"/>
      <c r="AZ104" s="1"/>
      <c r="BA104" s="6"/>
      <c r="BB104" s="6"/>
      <c r="BC104" s="6"/>
      <c r="BD104" s="1"/>
      <c r="BE104" s="6"/>
      <c r="BF104" s="1"/>
      <c r="BG104" s="6"/>
      <c r="BH104" s="1"/>
      <c r="BI104" s="1"/>
      <c r="BJ104" s="1"/>
      <c r="BK104" s="6"/>
      <c r="BL104" s="6"/>
      <c r="BM104" s="1"/>
      <c r="BN104" s="1"/>
      <c r="BO104" s="1"/>
    </row>
    <row r="105" spans="1:77" s="23" customFormat="1">
      <c r="A105" s="20"/>
      <c r="B105" s="21"/>
      <c r="C105" s="22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6"/>
      <c r="AX105" s="6"/>
      <c r="AY105" s="1"/>
      <c r="AZ105" s="1"/>
      <c r="BA105" s="6"/>
      <c r="BB105" s="6"/>
      <c r="BC105" s="6"/>
      <c r="BD105" s="1"/>
      <c r="BE105" s="6"/>
      <c r="BF105" s="1"/>
      <c r="BG105" s="6"/>
      <c r="BH105" s="1"/>
      <c r="BI105" s="1"/>
      <c r="BJ105" s="1"/>
      <c r="BK105" s="6"/>
      <c r="BL105" s="6"/>
      <c r="BM105" s="1"/>
      <c r="BN105" s="1"/>
      <c r="BO105" s="1"/>
    </row>
    <row r="106" spans="1:77" s="23" customFormat="1">
      <c r="A106" s="20"/>
      <c r="B106" s="21"/>
      <c r="C106" s="22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K106" s="1"/>
      <c r="BL106" s="1"/>
      <c r="BM106" s="1"/>
      <c r="BN106" s="1"/>
      <c r="BO106" s="1"/>
    </row>
    <row r="107" spans="1:77">
      <c r="B107" s="9"/>
      <c r="D107" s="6"/>
      <c r="E107" s="6"/>
      <c r="F107" s="6"/>
      <c r="BL107" s="6"/>
    </row>
    <row r="108" spans="1:77">
      <c r="A108" s="9"/>
      <c r="B108" s="9"/>
      <c r="C108" s="22"/>
      <c r="D108" s="6"/>
      <c r="E108" s="6"/>
      <c r="F108" s="6"/>
      <c r="BA108" s="6"/>
      <c r="BK108" s="6"/>
      <c r="BM108" s="4"/>
      <c r="BN108" s="4"/>
    </row>
    <row r="109" spans="1:77">
      <c r="B109" s="9"/>
      <c r="C109" s="22"/>
      <c r="D109" s="6"/>
      <c r="E109" s="6"/>
      <c r="F109" s="6"/>
      <c r="BA109" s="6"/>
      <c r="BB109" s="6"/>
      <c r="BC109" s="6"/>
      <c r="BE109" s="6"/>
      <c r="BG109" s="6"/>
    </row>
    <row r="110" spans="1:77">
      <c r="A110" s="9"/>
      <c r="B110" s="9"/>
      <c r="C110" s="22"/>
      <c r="E110" s="6"/>
      <c r="F110" s="6"/>
      <c r="AX110" s="6"/>
      <c r="BA110" s="6"/>
      <c r="BB110" s="6"/>
    </row>
    <row r="111" spans="1:77">
      <c r="B111" s="9"/>
      <c r="C111" s="22"/>
      <c r="D111" s="6"/>
      <c r="E111" s="6"/>
      <c r="BA111" s="6"/>
      <c r="BB111" s="6"/>
      <c r="BC111" s="6"/>
    </row>
    <row r="112" spans="1:77">
      <c r="B112" s="9"/>
      <c r="C112" s="22"/>
      <c r="D112" s="6"/>
      <c r="E112" s="6"/>
      <c r="BA112" s="6"/>
      <c r="BB112" s="6"/>
      <c r="BC112" s="6"/>
    </row>
    <row r="113" spans="1:64">
      <c r="B113" s="9"/>
      <c r="C113" s="22"/>
      <c r="BA113" s="6"/>
      <c r="BB113" s="6"/>
      <c r="BC113" s="6"/>
      <c r="BE113" s="6"/>
      <c r="BG113" s="6"/>
      <c r="BK113" s="6"/>
      <c r="BL113" s="6"/>
    </row>
    <row r="114" spans="1:64">
      <c r="B114" s="9"/>
      <c r="C114" s="22"/>
      <c r="BA114" s="6"/>
      <c r="BB114" s="6"/>
      <c r="BE114" s="6"/>
      <c r="BF114" s="6"/>
      <c r="BG114" s="6"/>
      <c r="BK114" s="6"/>
      <c r="BL114" s="6"/>
    </row>
    <row r="115" spans="1:64">
      <c r="A115" s="9"/>
      <c r="B115" s="9"/>
      <c r="D115" s="6"/>
      <c r="E115" s="6"/>
      <c r="F115" s="6"/>
      <c r="BA115" s="6"/>
      <c r="BB115" s="6"/>
      <c r="BC115" s="6"/>
    </row>
    <row r="116" spans="1:64">
      <c r="A116" s="9"/>
      <c r="B116" s="9"/>
      <c r="C116" s="22"/>
      <c r="D116" s="6"/>
      <c r="E116" s="6"/>
      <c r="F116" s="6"/>
      <c r="BA116" s="6"/>
      <c r="BB116" s="6"/>
      <c r="BC116" s="6"/>
    </row>
    <row r="117" spans="1:64">
      <c r="A117" s="9"/>
      <c r="B117" s="9"/>
      <c r="F117" s="6"/>
      <c r="BA117" s="6"/>
      <c r="BB117" s="6"/>
      <c r="BC117" s="6"/>
      <c r="BK117" s="6"/>
    </row>
    <row r="118" spans="1:64">
      <c r="A118" s="9"/>
      <c r="B118" s="9"/>
      <c r="D118" s="6"/>
      <c r="E118" s="6"/>
      <c r="F118" s="6"/>
      <c r="BA118" s="6"/>
      <c r="BB118" s="6"/>
      <c r="BC118" s="6"/>
      <c r="BE118" s="6"/>
    </row>
    <row r="119" spans="1:64">
      <c r="A119" s="9"/>
      <c r="B119" s="9"/>
      <c r="D119" s="6"/>
      <c r="E119" s="6"/>
      <c r="F119" s="6"/>
      <c r="BA119" s="6"/>
      <c r="BB119" s="6"/>
      <c r="BC119" s="6"/>
      <c r="BE119" s="6"/>
      <c r="BG119" s="6"/>
      <c r="BJ119" s="6"/>
      <c r="BK119" s="6"/>
      <c r="BL119" s="6"/>
    </row>
    <row r="120" spans="1:64">
      <c r="B120" s="9"/>
      <c r="D120" s="6"/>
      <c r="E120" s="6"/>
      <c r="F120" s="6"/>
      <c r="BA120" s="6"/>
    </row>
    <row r="121" spans="1:64">
      <c r="B121" s="9"/>
      <c r="D121" s="6"/>
      <c r="E121" s="6"/>
      <c r="F121" s="6"/>
      <c r="BA121" s="6"/>
      <c r="BB121" s="6"/>
      <c r="BC121" s="6"/>
      <c r="BE121" s="6"/>
    </row>
    <row r="122" spans="1:64">
      <c r="B122" s="9"/>
      <c r="D122" s="6"/>
      <c r="E122" s="6"/>
      <c r="F122" s="6"/>
    </row>
    <row r="123" spans="1:64">
      <c r="B123" s="9"/>
      <c r="C123" s="2"/>
      <c r="D123" s="6"/>
      <c r="E123" s="6"/>
      <c r="F123" s="6"/>
      <c r="BB123" s="6"/>
      <c r="BC123" s="6"/>
      <c r="BE123" s="6"/>
      <c r="BG123" s="6"/>
      <c r="BL123" s="6"/>
    </row>
    <row r="124" spans="1:64">
      <c r="B124" s="9"/>
      <c r="C124" s="2"/>
      <c r="D124" s="6"/>
      <c r="E124" s="6"/>
      <c r="F124" s="6"/>
      <c r="BB124" s="6"/>
    </row>
    <row r="125" spans="1:64">
      <c r="B125" s="9"/>
    </row>
    <row r="126" spans="1:64">
      <c r="B126" s="9"/>
      <c r="D126" s="6"/>
      <c r="E126" s="6"/>
      <c r="F126" s="6"/>
      <c r="BC126" s="6"/>
      <c r="BE126" s="6"/>
      <c r="BG126" s="6"/>
      <c r="BK126" s="6"/>
      <c r="BL126" s="6"/>
    </row>
    <row r="127" spans="1:64">
      <c r="B127" s="9"/>
      <c r="C127" s="2"/>
      <c r="D127" s="5"/>
      <c r="E127" s="5"/>
      <c r="F127" s="6"/>
      <c r="BC127" s="6"/>
      <c r="BE127" s="6"/>
      <c r="BG127" s="6"/>
    </row>
    <row r="128" spans="1:64">
      <c r="B128" s="9"/>
      <c r="BC128" s="6"/>
      <c r="BE128" s="6"/>
      <c r="BG128" s="6"/>
      <c r="BK128" s="6"/>
      <c r="BL128" s="6"/>
    </row>
    <row r="129" spans="1:64">
      <c r="A129" s="9"/>
      <c r="B129" s="9"/>
      <c r="C129" s="9"/>
      <c r="D129" s="5"/>
      <c r="E129" s="5"/>
      <c r="F129" s="6"/>
      <c r="BC129" s="6"/>
      <c r="BE129" s="6"/>
      <c r="BG129" s="6"/>
      <c r="BK129" s="6"/>
      <c r="BL129" s="6"/>
    </row>
    <row r="130" spans="1:64">
      <c r="B130" s="9"/>
      <c r="D130" s="6"/>
      <c r="E130" s="6"/>
      <c r="F130" s="6"/>
      <c r="BC130" s="6"/>
      <c r="BE130" s="6"/>
      <c r="BG130" s="6"/>
      <c r="BK130" s="6"/>
      <c r="BL130" s="6"/>
    </row>
    <row r="131" spans="1:64">
      <c r="B131" s="9"/>
      <c r="D131" s="6"/>
      <c r="E131" s="6"/>
      <c r="F131" s="6"/>
      <c r="BC131" s="6"/>
      <c r="BE131" s="6"/>
      <c r="BG131" s="6"/>
      <c r="BK131" s="6"/>
      <c r="BL131" s="6"/>
    </row>
    <row r="132" spans="1:64">
      <c r="B132" s="9"/>
      <c r="D132" s="6"/>
      <c r="E132" s="6"/>
      <c r="BE132" s="6"/>
    </row>
    <row r="133" spans="1:64">
      <c r="B133" s="9"/>
      <c r="BG133" s="6"/>
    </row>
    <row r="134" spans="1:64">
      <c r="B134" s="9"/>
      <c r="D134" s="6"/>
      <c r="E134" s="6"/>
      <c r="BE134" s="6"/>
      <c r="BG134" s="6"/>
    </row>
    <row r="135" spans="1:64">
      <c r="B135" s="9"/>
      <c r="D135" s="6"/>
      <c r="E135" s="6"/>
      <c r="BE135" s="6"/>
      <c r="BG135" s="6"/>
      <c r="BK135" s="6"/>
      <c r="BL135" s="6"/>
    </row>
    <row r="136" spans="1:64">
      <c r="B136" s="9"/>
      <c r="C136" s="2"/>
    </row>
    <row r="137" spans="1:64">
      <c r="A137" s="9"/>
      <c r="D137" s="6"/>
      <c r="E137" s="6"/>
      <c r="F137" s="6"/>
      <c r="BG137" s="6"/>
    </row>
    <row r="138" spans="1:64">
      <c r="B138" s="9"/>
      <c r="D138" s="6"/>
      <c r="E138" s="6"/>
    </row>
    <row r="139" spans="1:64">
      <c r="B139" s="9"/>
    </row>
    <row r="140" spans="1:64">
      <c r="B140" s="9"/>
    </row>
    <row r="141" spans="1:64">
      <c r="B141" s="9"/>
      <c r="BK141" s="6"/>
    </row>
    <row r="142" spans="1:64">
      <c r="D142" s="6"/>
      <c r="E142" s="6"/>
      <c r="BK142" s="6"/>
    </row>
    <row r="143" spans="1:64">
      <c r="B143" s="9"/>
      <c r="C143" s="2"/>
      <c r="D143" s="6"/>
      <c r="E143" s="6"/>
      <c r="F143" s="6"/>
      <c r="BK143" s="6"/>
      <c r="BL143" s="6"/>
    </row>
    <row r="144" spans="1:64">
      <c r="B144" s="9"/>
      <c r="D144" s="6"/>
      <c r="E144" s="6"/>
    </row>
    <row r="145" spans="1:112" s="29" customFormat="1">
      <c r="A145" s="24"/>
      <c r="B145" s="25"/>
      <c r="C145" s="26"/>
      <c r="D145" s="27"/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</row>
    <row r="146" spans="1:112" s="29" customFormat="1">
      <c r="A146" s="24"/>
      <c r="B146" s="25"/>
      <c r="C146" s="26"/>
      <c r="D146" s="27"/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</row>
    <row r="147" spans="1:112" s="29" customFormat="1">
      <c r="A147" s="24"/>
      <c r="B147" s="25"/>
      <c r="C147" s="26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</row>
    <row r="148" spans="1:112" s="29" customFormat="1">
      <c r="A148" s="24"/>
      <c r="B148" s="25"/>
      <c r="C148" s="26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</row>
    <row r="149" spans="1:112" s="29" customFormat="1">
      <c r="A149" s="24"/>
      <c r="C149" s="26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</row>
    <row r="150" spans="1:112" s="29" customFormat="1">
      <c r="A150" s="24"/>
      <c r="B150" s="24"/>
      <c r="C150" s="26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</row>
    <row r="151" spans="1:112" s="29" customFormat="1">
      <c r="A151" s="24"/>
      <c r="B151" s="24"/>
      <c r="C151" s="26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</row>
    <row r="152" spans="1:112" s="29" customFormat="1">
      <c r="A152" s="30"/>
      <c r="C152" s="26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</row>
    <row r="153" spans="1:112" s="29" customFormat="1">
      <c r="A153" s="24"/>
      <c r="C153" s="26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</row>
    <row r="154" spans="1:112" s="29" customFormat="1">
      <c r="A154" s="24"/>
      <c r="C154" s="26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</row>
    <row r="155" spans="1:112" s="29" customFormat="1">
      <c r="A155" s="24"/>
      <c r="C155" s="26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</row>
    <row r="156" spans="1:112" s="29" customFormat="1">
      <c r="A156" s="24"/>
      <c r="C156" s="26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</row>
    <row r="157" spans="1:112" s="29" customFormat="1">
      <c r="A157" s="24"/>
      <c r="C157" s="26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</row>
    <row r="158" spans="1:112" s="29" customFormat="1">
      <c r="A158" s="24"/>
      <c r="C158" s="26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</row>
    <row r="159" spans="1:112" s="29" customFormat="1">
      <c r="A159" s="24"/>
      <c r="C159" s="26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</row>
    <row r="160" spans="1:112" s="29" customFormat="1">
      <c r="A160" s="24"/>
      <c r="C160" s="26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</row>
    <row r="161" spans="1:77" s="29" customFormat="1">
      <c r="A161" s="24"/>
      <c r="C161" s="26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</row>
    <row r="284" spans="1:102" ht="13.5" thickBot="1"/>
    <row r="285" spans="1:102" s="3" customFormat="1" ht="13.5" thickTop="1">
      <c r="A285" s="8"/>
      <c r="B285"/>
      <c r="C285" s="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/>
      <c r="CA285"/>
      <c r="CB285"/>
      <c r="CC285"/>
      <c r="CD285"/>
      <c r="CE285"/>
      <c r="CF285"/>
      <c r="CG285" s="3">
        <f t="shared" ref="CG285:CX285" si="2">COUNTA(CG3:CG284)-COUNTIF(CG3:CG284,"intertidal")</f>
        <v>0</v>
      </c>
      <c r="CH285" s="3">
        <f t="shared" si="2"/>
        <v>0</v>
      </c>
      <c r="CI285" s="3">
        <f t="shared" si="2"/>
        <v>0</v>
      </c>
      <c r="CJ285" s="3">
        <f t="shared" si="2"/>
        <v>0</v>
      </c>
      <c r="CK285" s="3">
        <f t="shared" si="2"/>
        <v>0</v>
      </c>
      <c r="CL285" s="3">
        <f t="shared" si="2"/>
        <v>0</v>
      </c>
      <c r="CM285" s="3">
        <f t="shared" si="2"/>
        <v>0</v>
      </c>
      <c r="CN285" s="3">
        <f t="shared" si="2"/>
        <v>0</v>
      </c>
      <c r="CO285" s="3">
        <f t="shared" si="2"/>
        <v>0</v>
      </c>
      <c r="CP285" s="3">
        <f t="shared" si="2"/>
        <v>0</v>
      </c>
      <c r="CQ285" s="3">
        <f t="shared" si="2"/>
        <v>0</v>
      </c>
      <c r="CR285" s="3">
        <f t="shared" si="2"/>
        <v>0</v>
      </c>
      <c r="CS285" s="3">
        <f t="shared" si="2"/>
        <v>0</v>
      </c>
      <c r="CT285" s="3">
        <f t="shared" si="2"/>
        <v>0</v>
      </c>
      <c r="CU285" s="3">
        <f t="shared" si="2"/>
        <v>0</v>
      </c>
      <c r="CV285" s="3">
        <f t="shared" si="2"/>
        <v>0</v>
      </c>
      <c r="CW285" s="3">
        <f t="shared" si="2"/>
        <v>0</v>
      </c>
      <c r="CX285" s="3">
        <f t="shared" si="2"/>
        <v>0</v>
      </c>
    </row>
  </sheetData>
  <sortState ref="A3:BO81">
    <sortCondition ref="C3"/>
  </sortState>
  <mergeCells count="1">
    <mergeCell ref="C1:F1"/>
  </mergeCells>
  <conditionalFormatting sqref="B1:B3 B36:B52 B93:B1048576 B5:B34 B54:B91">
    <cfRule type="duplicateValues" dxfId="4" priority="8"/>
  </conditionalFormatting>
  <conditionalFormatting sqref="B1:B1048576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5"/>
  <sheetViews>
    <sheetView workbookViewId="0">
      <selection activeCell="A2" sqref="A2:D115"/>
    </sheetView>
  </sheetViews>
  <sheetFormatPr defaultRowHeight="12.75"/>
  <cols>
    <col min="1" max="1" width="25.42578125" customWidth="1"/>
    <col min="2" max="2" width="14" customWidth="1"/>
    <col min="3" max="3" width="78.140625" customWidth="1"/>
  </cols>
  <sheetData>
    <row r="1" spans="1:4">
      <c r="A1" s="15" t="s">
        <v>12</v>
      </c>
      <c r="B1" s="15" t="s">
        <v>2</v>
      </c>
      <c r="C1" s="15" t="s">
        <v>8</v>
      </c>
      <c r="D1" s="17" t="s">
        <v>0</v>
      </c>
    </row>
    <row r="2" spans="1:4">
      <c r="A2" s="9"/>
      <c r="B2" s="9" t="s">
        <v>62</v>
      </c>
      <c r="C2" s="9" t="s">
        <v>63</v>
      </c>
      <c r="D2" s="7" t="s">
        <v>14</v>
      </c>
    </row>
    <row r="3" spans="1:4">
      <c r="A3" s="9"/>
      <c r="B3" s="8"/>
      <c r="C3" s="9" t="s">
        <v>64</v>
      </c>
      <c r="D3" s="7" t="s">
        <v>14</v>
      </c>
    </row>
    <row r="4" spans="1:4">
      <c r="A4" s="9"/>
      <c r="B4" s="9"/>
      <c r="C4" s="9" t="s">
        <v>65</v>
      </c>
      <c r="D4" s="7" t="s">
        <v>14</v>
      </c>
    </row>
    <row r="5" spans="1:4">
      <c r="A5" s="9"/>
      <c r="B5" s="9"/>
      <c r="C5" s="9" t="s">
        <v>66</v>
      </c>
      <c r="D5" s="7" t="s">
        <v>14</v>
      </c>
    </row>
    <row r="6" spans="1:4">
      <c r="A6" s="9"/>
      <c r="B6" s="13"/>
      <c r="C6" s="9" t="s">
        <v>67</v>
      </c>
      <c r="D6" s="4" t="s">
        <v>14</v>
      </c>
    </row>
    <row r="7" spans="1:4">
      <c r="A7" s="8"/>
      <c r="B7" s="8"/>
      <c r="C7" s="9" t="s">
        <v>65</v>
      </c>
      <c r="D7" s="4" t="s">
        <v>14</v>
      </c>
    </row>
    <row r="8" spans="1:4">
      <c r="A8" s="9"/>
      <c r="B8" s="13"/>
      <c r="C8" s="9" t="s">
        <v>68</v>
      </c>
      <c r="D8" s="7" t="s">
        <v>14</v>
      </c>
    </row>
    <row r="9" spans="1:4">
      <c r="A9" s="8"/>
      <c r="B9" s="9" t="s">
        <v>69</v>
      </c>
      <c r="C9" s="9" t="s">
        <v>70</v>
      </c>
      <c r="D9" s="7" t="s">
        <v>14</v>
      </c>
    </row>
    <row r="10" spans="1:4">
      <c r="A10" s="8" t="s">
        <v>71</v>
      </c>
      <c r="B10" s="8" t="s">
        <v>72</v>
      </c>
      <c r="C10" s="9" t="s">
        <v>73</v>
      </c>
      <c r="D10" s="7" t="s">
        <v>14</v>
      </c>
    </row>
    <row r="11" spans="1:4">
      <c r="A11" s="9"/>
      <c r="B11" s="13"/>
      <c r="C11" s="9" t="s">
        <v>74</v>
      </c>
      <c r="D11" s="7" t="s">
        <v>14</v>
      </c>
    </row>
    <row r="12" spans="1:4">
      <c r="A12" s="8"/>
      <c r="B12" s="13"/>
      <c r="C12" s="9" t="s">
        <v>65</v>
      </c>
      <c r="D12" s="7" t="s">
        <v>14</v>
      </c>
    </row>
    <row r="13" spans="1:4">
      <c r="A13" s="8"/>
      <c r="B13" s="9" t="s">
        <v>75</v>
      </c>
      <c r="C13" s="9" t="s">
        <v>76</v>
      </c>
      <c r="D13" s="7" t="s">
        <v>14</v>
      </c>
    </row>
    <row r="14" spans="1:4">
      <c r="A14" s="8"/>
      <c r="B14" s="8"/>
      <c r="C14" s="9" t="s">
        <v>77</v>
      </c>
      <c r="D14" s="7" t="s">
        <v>14</v>
      </c>
    </row>
    <row r="15" spans="1:4">
      <c r="A15" s="8"/>
      <c r="B15" s="8" t="s">
        <v>78</v>
      </c>
      <c r="C15" s="9" t="s">
        <v>79</v>
      </c>
      <c r="D15" s="7" t="s">
        <v>14</v>
      </c>
    </row>
    <row r="16" spans="1:4">
      <c r="A16" s="9"/>
      <c r="B16" s="8" t="s">
        <v>80</v>
      </c>
      <c r="C16" s="9" t="s">
        <v>81</v>
      </c>
      <c r="D16" s="7" t="s">
        <v>14</v>
      </c>
    </row>
    <row r="17" spans="1:4">
      <c r="A17" s="9" t="s">
        <v>82</v>
      </c>
      <c r="B17" s="8" t="s">
        <v>83</v>
      </c>
      <c r="C17" s="9" t="s">
        <v>84</v>
      </c>
      <c r="D17" s="6" t="s">
        <v>14</v>
      </c>
    </row>
    <row r="18" spans="1:4">
      <c r="A18" s="9" t="s">
        <v>85</v>
      </c>
      <c r="B18" s="9" t="s">
        <v>86</v>
      </c>
      <c r="C18" s="9" t="s">
        <v>87</v>
      </c>
      <c r="D18" s="7" t="s">
        <v>14</v>
      </c>
    </row>
    <row r="19" spans="1:4">
      <c r="A19" s="8"/>
      <c r="B19" s="9" t="s">
        <v>88</v>
      </c>
      <c r="C19" s="9" t="s">
        <v>89</v>
      </c>
      <c r="D19" s="7" t="s">
        <v>14</v>
      </c>
    </row>
    <row r="20" spans="1:4">
      <c r="A20" s="8"/>
      <c r="B20" s="9" t="s">
        <v>90</v>
      </c>
      <c r="C20" s="9" t="s">
        <v>91</v>
      </c>
      <c r="D20" s="7" t="s">
        <v>16</v>
      </c>
    </row>
    <row r="21" spans="1:4">
      <c r="A21" s="9" t="s">
        <v>92</v>
      </c>
      <c r="B21" s="9" t="s">
        <v>93</v>
      </c>
      <c r="C21" s="9" t="s">
        <v>94</v>
      </c>
      <c r="D21" s="7" t="s">
        <v>15</v>
      </c>
    </row>
    <row r="22" spans="1:4">
      <c r="A22" s="9" t="s">
        <v>95</v>
      </c>
      <c r="B22" s="9" t="s">
        <v>96</v>
      </c>
      <c r="C22" s="9" t="s">
        <v>97</v>
      </c>
      <c r="D22" s="7" t="s">
        <v>14</v>
      </c>
    </row>
    <row r="23" spans="1:4">
      <c r="A23" s="8"/>
      <c r="B23" s="9"/>
      <c r="C23" s="9" t="s">
        <v>65</v>
      </c>
      <c r="D23" s="7" t="s">
        <v>20</v>
      </c>
    </row>
    <row r="24" spans="1:4">
      <c r="A24" s="8"/>
      <c r="B24" s="9" t="s">
        <v>98</v>
      </c>
      <c r="C24" s="9" t="s">
        <v>99</v>
      </c>
      <c r="D24" s="7" t="s">
        <v>14</v>
      </c>
    </row>
    <row r="25" spans="1:4">
      <c r="A25" s="9"/>
      <c r="B25" s="9" t="s">
        <v>100</v>
      </c>
      <c r="C25" s="9" t="s">
        <v>101</v>
      </c>
      <c r="D25" s="7" t="s">
        <v>14</v>
      </c>
    </row>
    <row r="26" spans="1:4">
      <c r="A26" s="8" t="s">
        <v>102</v>
      </c>
      <c r="B26" s="9" t="s">
        <v>103</v>
      </c>
      <c r="C26" s="9" t="s">
        <v>104</v>
      </c>
      <c r="D26" s="7" t="s">
        <v>14</v>
      </c>
    </row>
    <row r="27" spans="1:4">
      <c r="A27" s="8" t="s">
        <v>105</v>
      </c>
      <c r="B27" s="9" t="s">
        <v>106</v>
      </c>
      <c r="C27" s="9" t="s">
        <v>107</v>
      </c>
      <c r="D27" s="7" t="s">
        <v>14</v>
      </c>
    </row>
    <row r="28" spans="1:4">
      <c r="A28" s="8"/>
      <c r="B28" s="9"/>
      <c r="C28" s="9" t="s">
        <v>65</v>
      </c>
      <c r="D28" s="7" t="s">
        <v>20</v>
      </c>
    </row>
    <row r="29" spans="1:4">
      <c r="A29" s="8" t="s">
        <v>108</v>
      </c>
      <c r="B29" s="9"/>
      <c r="C29" s="9" t="s">
        <v>65</v>
      </c>
      <c r="D29" s="7" t="s">
        <v>20</v>
      </c>
    </row>
    <row r="30" spans="1:4">
      <c r="A30" s="9" t="s">
        <v>109</v>
      </c>
      <c r="B30" s="9" t="s">
        <v>110</v>
      </c>
      <c r="C30" s="9" t="s">
        <v>111</v>
      </c>
      <c r="D30" s="7" t="s">
        <v>14</v>
      </c>
    </row>
    <row r="31" spans="1:4">
      <c r="A31" s="9" t="s">
        <v>112</v>
      </c>
      <c r="B31" s="9" t="s">
        <v>113</v>
      </c>
      <c r="C31" s="9" t="s">
        <v>114</v>
      </c>
      <c r="D31" s="7" t="s">
        <v>15</v>
      </c>
    </row>
    <row r="32" spans="1:4">
      <c r="A32" s="9" t="s">
        <v>115</v>
      </c>
      <c r="B32" s="9" t="s">
        <v>116</v>
      </c>
      <c r="C32" s="9" t="s">
        <v>117</v>
      </c>
      <c r="D32" s="7" t="s">
        <v>14</v>
      </c>
    </row>
    <row r="33" spans="1:4">
      <c r="A33" s="8"/>
      <c r="B33" s="9" t="s">
        <v>118</v>
      </c>
      <c r="C33" s="9" t="s">
        <v>119</v>
      </c>
      <c r="D33" s="4" t="s">
        <v>13</v>
      </c>
    </row>
    <row r="34" spans="1:4">
      <c r="A34" s="8"/>
      <c r="B34" s="8"/>
      <c r="C34" s="9" t="s">
        <v>65</v>
      </c>
      <c r="D34" s="4" t="s">
        <v>20</v>
      </c>
    </row>
    <row r="35" spans="1:4">
      <c r="A35" s="8" t="s">
        <v>120</v>
      </c>
      <c r="B35" s="9"/>
      <c r="C35" s="9" t="s">
        <v>121</v>
      </c>
      <c r="D35" s="7" t="s">
        <v>14</v>
      </c>
    </row>
    <row r="36" spans="1:4">
      <c r="A36" s="8"/>
      <c r="B36" s="9" t="s">
        <v>122</v>
      </c>
      <c r="C36" s="9" t="s">
        <v>123</v>
      </c>
      <c r="D36" s="7" t="s">
        <v>14</v>
      </c>
    </row>
    <row r="37" spans="1:4">
      <c r="A37" s="9" t="s">
        <v>124</v>
      </c>
      <c r="B37" s="9" t="s">
        <v>125</v>
      </c>
      <c r="C37" s="9" t="s">
        <v>126</v>
      </c>
      <c r="D37" s="7" t="s">
        <v>14</v>
      </c>
    </row>
    <row r="38" spans="1:4">
      <c r="A38" s="9"/>
      <c r="B38" s="9"/>
      <c r="C38" s="9" t="s">
        <v>127</v>
      </c>
      <c r="D38" s="7" t="s">
        <v>20</v>
      </c>
    </row>
    <row r="39" spans="1:4">
      <c r="A39" s="9" t="s">
        <v>128</v>
      </c>
      <c r="B39" s="9" t="s">
        <v>129</v>
      </c>
      <c r="C39" s="9" t="s">
        <v>130</v>
      </c>
      <c r="D39" s="7" t="s">
        <v>14</v>
      </c>
    </row>
    <row r="40" spans="1:4">
      <c r="A40" s="8"/>
      <c r="B40" s="9" t="s">
        <v>131</v>
      </c>
      <c r="C40" s="9" t="s">
        <v>132</v>
      </c>
      <c r="D40" s="7" t="s">
        <v>14</v>
      </c>
    </row>
    <row r="41" spans="1:4">
      <c r="A41" s="8"/>
      <c r="B41" s="9" t="s">
        <v>133</v>
      </c>
      <c r="C41" s="9" t="s">
        <v>134</v>
      </c>
      <c r="D41" s="7" t="s">
        <v>20</v>
      </c>
    </row>
    <row r="42" spans="1:4">
      <c r="A42" s="9" t="s">
        <v>135</v>
      </c>
      <c r="B42" s="9" t="s">
        <v>136</v>
      </c>
      <c r="C42" s="9" t="s">
        <v>137</v>
      </c>
      <c r="D42" s="7" t="s">
        <v>14</v>
      </c>
    </row>
    <row r="43" spans="1:4">
      <c r="A43" s="9" t="s">
        <v>138</v>
      </c>
      <c r="B43" s="9" t="s">
        <v>139</v>
      </c>
      <c r="C43" s="9" t="s">
        <v>140</v>
      </c>
      <c r="D43" s="7" t="s">
        <v>14</v>
      </c>
    </row>
    <row r="44" spans="1:4">
      <c r="A44" s="9"/>
      <c r="B44" s="9"/>
      <c r="C44" s="9" t="s">
        <v>141</v>
      </c>
      <c r="D44" s="7" t="s">
        <v>20</v>
      </c>
    </row>
    <row r="45" spans="1:4">
      <c r="A45" s="9"/>
      <c r="B45" s="9"/>
      <c r="C45" s="9" t="s">
        <v>65</v>
      </c>
      <c r="D45" s="7" t="s">
        <v>20</v>
      </c>
    </row>
    <row r="46" spans="1:4">
      <c r="A46" s="9"/>
      <c r="B46" s="9" t="s">
        <v>142</v>
      </c>
      <c r="C46" s="9" t="s">
        <v>143</v>
      </c>
      <c r="D46" s="7" t="s">
        <v>20</v>
      </c>
    </row>
    <row r="47" spans="1:4">
      <c r="A47" s="8"/>
      <c r="B47" s="9"/>
      <c r="C47" s="9" t="s">
        <v>65</v>
      </c>
      <c r="D47" s="7" t="s">
        <v>20</v>
      </c>
    </row>
    <row r="48" spans="1:4">
      <c r="A48" s="9" t="s">
        <v>144</v>
      </c>
      <c r="B48" s="9" t="s">
        <v>145</v>
      </c>
      <c r="C48" s="9" t="s">
        <v>146</v>
      </c>
      <c r="D48" s="7" t="s">
        <v>14</v>
      </c>
    </row>
    <row r="49" spans="1:4">
      <c r="A49" s="9"/>
      <c r="B49" s="9"/>
      <c r="C49" s="9" t="s">
        <v>147</v>
      </c>
      <c r="D49" s="7" t="s">
        <v>20</v>
      </c>
    </row>
    <row r="50" spans="1:4">
      <c r="A50" s="8"/>
      <c r="B50" s="9"/>
      <c r="C50" s="9" t="s">
        <v>148</v>
      </c>
      <c r="D50" s="7" t="s">
        <v>149</v>
      </c>
    </row>
    <row r="51" spans="1:4">
      <c r="A51" s="9" t="s">
        <v>150</v>
      </c>
      <c r="B51" s="9"/>
      <c r="C51" s="9" t="s">
        <v>151</v>
      </c>
      <c r="D51" s="7" t="s">
        <v>14</v>
      </c>
    </row>
    <row r="52" spans="1:4">
      <c r="A52" s="9" t="s">
        <v>152</v>
      </c>
      <c r="B52" s="12" t="s">
        <v>153</v>
      </c>
      <c r="C52" s="9" t="s">
        <v>154</v>
      </c>
      <c r="D52" s="1" t="s">
        <v>14</v>
      </c>
    </row>
    <row r="53" spans="1:4">
      <c r="A53" s="8"/>
      <c r="B53" s="9" t="s">
        <v>155</v>
      </c>
      <c r="C53" s="9" t="s">
        <v>156</v>
      </c>
      <c r="D53" s="7" t="s">
        <v>14</v>
      </c>
    </row>
    <row r="54" spans="1:4">
      <c r="A54" s="8" t="s">
        <v>157</v>
      </c>
      <c r="B54" s="9" t="s">
        <v>158</v>
      </c>
      <c r="C54" s="9" t="s">
        <v>159</v>
      </c>
      <c r="D54" s="11" t="s">
        <v>160</v>
      </c>
    </row>
    <row r="55" spans="1:4">
      <c r="A55" s="9" t="s">
        <v>161</v>
      </c>
      <c r="B55" s="9" t="s">
        <v>162</v>
      </c>
      <c r="C55" s="7" t="s">
        <v>163</v>
      </c>
      <c r="D55" s="7" t="s">
        <v>14</v>
      </c>
    </row>
    <row r="56" spans="1:4">
      <c r="A56" s="8" t="s">
        <v>164</v>
      </c>
      <c r="B56" s="9" t="s">
        <v>165</v>
      </c>
      <c r="C56" s="9" t="s">
        <v>166</v>
      </c>
      <c r="D56" s="7" t="s">
        <v>14</v>
      </c>
    </row>
    <row r="57" spans="1:4">
      <c r="A57" s="9"/>
      <c r="B57" s="9"/>
      <c r="C57" s="9" t="s">
        <v>65</v>
      </c>
      <c r="D57" s="7" t="s">
        <v>167</v>
      </c>
    </row>
    <row r="58" spans="1:4">
      <c r="A58" s="9"/>
      <c r="B58" s="9" t="s">
        <v>168</v>
      </c>
      <c r="C58" s="9" t="s">
        <v>169</v>
      </c>
      <c r="D58" s="7" t="s">
        <v>14</v>
      </c>
    </row>
    <row r="59" spans="1:4">
      <c r="A59" s="9" t="s">
        <v>170</v>
      </c>
      <c r="B59" s="9"/>
      <c r="C59" s="9" t="s">
        <v>171</v>
      </c>
      <c r="D59" s="7" t="s">
        <v>14</v>
      </c>
    </row>
    <row r="60" spans="1:4">
      <c r="A60" s="9"/>
      <c r="B60" s="9"/>
      <c r="C60" s="9" t="s">
        <v>65</v>
      </c>
      <c r="D60" s="7" t="s">
        <v>14</v>
      </c>
    </row>
    <row r="61" spans="1:4">
      <c r="A61" s="9" t="s">
        <v>172</v>
      </c>
      <c r="B61" s="9" t="s">
        <v>173</v>
      </c>
      <c r="C61" s="9" t="s">
        <v>174</v>
      </c>
      <c r="D61" s="7" t="s">
        <v>14</v>
      </c>
    </row>
    <row r="62" spans="1:4">
      <c r="A62" s="9" t="s">
        <v>175</v>
      </c>
      <c r="B62" s="9"/>
      <c r="C62" s="9" t="s">
        <v>176</v>
      </c>
      <c r="D62" s="7" t="s">
        <v>14</v>
      </c>
    </row>
    <row r="63" spans="1:4">
      <c r="A63" s="9" t="s">
        <v>177</v>
      </c>
      <c r="B63" s="9"/>
      <c r="C63" s="9" t="s">
        <v>178</v>
      </c>
      <c r="D63" s="7" t="s">
        <v>14</v>
      </c>
    </row>
    <row r="64" spans="1:4">
      <c r="A64" s="9" t="s">
        <v>179</v>
      </c>
      <c r="B64" s="9" t="s">
        <v>180</v>
      </c>
      <c r="C64" s="9" t="s">
        <v>181</v>
      </c>
      <c r="D64" s="7" t="s">
        <v>14</v>
      </c>
    </row>
    <row r="65" spans="1:4">
      <c r="A65" s="9" t="s">
        <v>182</v>
      </c>
      <c r="B65" s="9" t="s">
        <v>183</v>
      </c>
      <c r="C65" s="9" t="s">
        <v>184</v>
      </c>
      <c r="D65" s="7" t="s">
        <v>14</v>
      </c>
    </row>
    <row r="66" spans="1:4">
      <c r="A66" s="9" t="s">
        <v>185</v>
      </c>
      <c r="B66" s="9"/>
      <c r="C66" s="9" t="s">
        <v>65</v>
      </c>
      <c r="D66" s="7" t="s">
        <v>14</v>
      </c>
    </row>
    <row r="67" spans="1:4">
      <c r="A67" s="8"/>
      <c r="B67" s="9"/>
      <c r="C67" s="9" t="s">
        <v>65</v>
      </c>
      <c r="D67" s="7" t="s">
        <v>20</v>
      </c>
    </row>
    <row r="68" spans="1:4">
      <c r="A68" s="8"/>
      <c r="B68" s="9"/>
      <c r="C68" s="9" t="s">
        <v>186</v>
      </c>
      <c r="D68" s="7" t="s">
        <v>20</v>
      </c>
    </row>
    <row r="69" spans="1:4">
      <c r="A69" s="8" t="s">
        <v>187</v>
      </c>
      <c r="B69" s="9"/>
      <c r="C69" s="9" t="s">
        <v>188</v>
      </c>
      <c r="D69" s="7" t="s">
        <v>14</v>
      </c>
    </row>
    <row r="70" spans="1:4">
      <c r="A70" s="9"/>
      <c r="B70" s="9" t="s">
        <v>189</v>
      </c>
      <c r="C70" s="9" t="s">
        <v>190</v>
      </c>
      <c r="D70" s="7" t="s">
        <v>14</v>
      </c>
    </row>
    <row r="71" spans="1:4">
      <c r="A71" s="8" t="s">
        <v>191</v>
      </c>
      <c r="B71" s="9"/>
      <c r="C71" s="9" t="s">
        <v>192</v>
      </c>
      <c r="D71" s="7" t="s">
        <v>160</v>
      </c>
    </row>
    <row r="72" spans="1:4">
      <c r="A72" s="8"/>
      <c r="B72" s="9"/>
      <c r="C72" s="9" t="s">
        <v>65</v>
      </c>
      <c r="D72" s="7" t="s">
        <v>193</v>
      </c>
    </row>
    <row r="73" spans="1:4">
      <c r="A73" s="8" t="s">
        <v>194</v>
      </c>
      <c r="B73" s="9"/>
      <c r="C73" s="9" t="s">
        <v>195</v>
      </c>
      <c r="D73" s="6" t="s">
        <v>149</v>
      </c>
    </row>
    <row r="74" spans="1:4">
      <c r="A74" s="8"/>
      <c r="B74" s="9"/>
      <c r="C74" s="9" t="s">
        <v>65</v>
      </c>
      <c r="D74" s="6" t="s">
        <v>20</v>
      </c>
    </row>
    <row r="75" spans="1:4">
      <c r="A75" s="8"/>
      <c r="B75" s="9"/>
      <c r="C75" s="9" t="s">
        <v>65</v>
      </c>
      <c r="D75" s="7" t="s">
        <v>20</v>
      </c>
    </row>
    <row r="76" spans="1:4">
      <c r="A76" s="8"/>
      <c r="B76" s="9"/>
      <c r="C76" s="9" t="s">
        <v>196</v>
      </c>
      <c r="D76" s="7" t="s">
        <v>20</v>
      </c>
    </row>
    <row r="77" spans="1:4">
      <c r="A77" s="8"/>
      <c r="B77" s="9" t="s">
        <v>197</v>
      </c>
      <c r="C77" s="12" t="s">
        <v>198</v>
      </c>
      <c r="D77" s="6" t="s">
        <v>14</v>
      </c>
    </row>
    <row r="78" spans="1:4">
      <c r="A78" s="8"/>
      <c r="B78" s="9"/>
      <c r="C78" s="12" t="s">
        <v>199</v>
      </c>
      <c r="D78" s="6" t="s">
        <v>20</v>
      </c>
    </row>
    <row r="79" spans="1:4">
      <c r="A79" s="9"/>
      <c r="B79" s="9"/>
      <c r="C79" s="12" t="s">
        <v>200</v>
      </c>
      <c r="D79" s="6" t="s">
        <v>20</v>
      </c>
    </row>
    <row r="80" spans="1:4">
      <c r="A80" s="9" t="s">
        <v>201</v>
      </c>
      <c r="B80" s="9" t="s">
        <v>202</v>
      </c>
      <c r="C80" s="12" t="s">
        <v>203</v>
      </c>
      <c r="D80" s="6" t="s">
        <v>17</v>
      </c>
    </row>
    <row r="81" spans="1:4">
      <c r="A81" s="8"/>
      <c r="B81" s="9"/>
      <c r="C81" s="12" t="s">
        <v>65</v>
      </c>
      <c r="D81" s="6" t="s">
        <v>20</v>
      </c>
    </row>
    <row r="82" spans="1:4">
      <c r="A82" s="9"/>
      <c r="B82" s="9"/>
      <c r="C82" s="12" t="s">
        <v>204</v>
      </c>
      <c r="D82" s="6" t="s">
        <v>14</v>
      </c>
    </row>
    <row r="83" spans="1:4">
      <c r="A83" s="9"/>
      <c r="B83" s="9" t="s">
        <v>205</v>
      </c>
      <c r="C83" s="12" t="s">
        <v>206</v>
      </c>
      <c r="D83" s="6" t="s">
        <v>17</v>
      </c>
    </row>
    <row r="84" spans="1:4">
      <c r="A84" s="8"/>
      <c r="B84" s="9"/>
      <c r="C84" s="12" t="s">
        <v>65</v>
      </c>
      <c r="D84" s="6" t="s">
        <v>20</v>
      </c>
    </row>
    <row r="85" spans="1:4">
      <c r="A85" s="8"/>
      <c r="B85" s="9"/>
      <c r="C85" s="12" t="s">
        <v>65</v>
      </c>
      <c r="D85" s="6" t="s">
        <v>20</v>
      </c>
    </row>
    <row r="86" spans="1:4">
      <c r="A86" s="9"/>
      <c r="B86" s="9"/>
      <c r="C86" s="12" t="s">
        <v>207</v>
      </c>
      <c r="D86" s="6" t="s">
        <v>20</v>
      </c>
    </row>
    <row r="87" spans="1:4">
      <c r="A87" s="8"/>
      <c r="B87" s="9"/>
      <c r="C87" s="9" t="s">
        <v>208</v>
      </c>
      <c r="D87" s="6" t="s">
        <v>14</v>
      </c>
    </row>
    <row r="88" spans="1:4">
      <c r="A88" s="8"/>
      <c r="B88" s="9"/>
      <c r="C88" s="9" t="s">
        <v>209</v>
      </c>
      <c r="D88" s="6" t="s">
        <v>193</v>
      </c>
    </row>
    <row r="89" spans="1:4">
      <c r="A89" s="9" t="s">
        <v>210</v>
      </c>
      <c r="B89" s="9"/>
      <c r="C89" s="9" t="s">
        <v>211</v>
      </c>
      <c r="D89" s="6" t="s">
        <v>20</v>
      </c>
    </row>
    <row r="90" spans="1:4">
      <c r="A90" s="12"/>
      <c r="B90" s="9"/>
      <c r="C90" s="12" t="s">
        <v>65</v>
      </c>
      <c r="D90" s="6" t="s">
        <v>20</v>
      </c>
    </row>
    <row r="91" spans="1:4">
      <c r="A91" s="8" t="s">
        <v>212</v>
      </c>
      <c r="C91" s="12" t="s">
        <v>213</v>
      </c>
      <c r="D91" s="1" t="s">
        <v>14</v>
      </c>
    </row>
    <row r="92" spans="1:4">
      <c r="A92" s="8"/>
      <c r="B92" s="9"/>
      <c r="C92" s="12" t="s">
        <v>214</v>
      </c>
      <c r="D92" s="6" t="s">
        <v>14</v>
      </c>
    </row>
    <row r="93" spans="1:4">
      <c r="A93" s="9" t="s">
        <v>215</v>
      </c>
      <c r="B93" s="9"/>
      <c r="C93" s="12" t="s">
        <v>65</v>
      </c>
      <c r="D93" s="6" t="s">
        <v>14</v>
      </c>
    </row>
    <row r="94" spans="1:4">
      <c r="A94" s="9" t="s">
        <v>216</v>
      </c>
      <c r="B94" s="9"/>
      <c r="C94" s="12" t="s">
        <v>217</v>
      </c>
      <c r="D94" s="6" t="s">
        <v>15</v>
      </c>
    </row>
    <row r="95" spans="1:4">
      <c r="A95" s="8"/>
      <c r="B95" s="9"/>
      <c r="C95" s="12" t="s">
        <v>65</v>
      </c>
      <c r="D95" s="6" t="s">
        <v>20</v>
      </c>
    </row>
    <row r="96" spans="1:4">
      <c r="A96" s="8"/>
      <c r="B96" s="9"/>
      <c r="C96" s="12" t="s">
        <v>218</v>
      </c>
      <c r="D96" s="6" t="s">
        <v>20</v>
      </c>
    </row>
    <row r="97" spans="1:4">
      <c r="A97" s="9"/>
      <c r="B97" s="9"/>
      <c r="C97" s="12" t="s">
        <v>65</v>
      </c>
      <c r="D97" s="6" t="s">
        <v>20</v>
      </c>
    </row>
    <row r="98" spans="1:4">
      <c r="A98" s="12"/>
      <c r="B98" s="9"/>
      <c r="C98" s="12" t="s">
        <v>65</v>
      </c>
      <c r="D98" s="6" t="s">
        <v>20</v>
      </c>
    </row>
    <row r="99" spans="1:4">
      <c r="A99" s="9"/>
      <c r="B99" s="9"/>
      <c r="C99" s="12" t="s">
        <v>219</v>
      </c>
      <c r="D99" s="6" t="s">
        <v>20</v>
      </c>
    </row>
    <row r="100" spans="1:4">
      <c r="A100" s="9"/>
      <c r="B100" s="9"/>
      <c r="C100" s="12" t="s">
        <v>65</v>
      </c>
      <c r="D100" s="6" t="s">
        <v>20</v>
      </c>
    </row>
    <row r="101" spans="1:4">
      <c r="A101" s="9"/>
      <c r="B101" s="25"/>
      <c r="C101" s="12" t="s">
        <v>65</v>
      </c>
      <c r="D101" s="6" t="s">
        <v>20</v>
      </c>
    </row>
    <row r="102" spans="1:4">
      <c r="A102" s="24"/>
      <c r="B102" s="25"/>
      <c r="C102" s="26" t="s">
        <v>220</v>
      </c>
      <c r="D102" s="6" t="s">
        <v>20</v>
      </c>
    </row>
    <row r="103" spans="1:4">
      <c r="A103" s="20"/>
      <c r="B103" s="21"/>
      <c r="C103" s="22" t="s">
        <v>65</v>
      </c>
      <c r="D103" s="6" t="s">
        <v>20</v>
      </c>
    </row>
    <row r="104" spans="1:4">
      <c r="A104" s="20"/>
      <c r="B104" s="21"/>
      <c r="C104" s="22" t="s">
        <v>221</v>
      </c>
      <c r="D104" s="6" t="s">
        <v>15</v>
      </c>
    </row>
    <row r="105" spans="1:4">
      <c r="A105" s="20"/>
      <c r="B105" s="21"/>
      <c r="C105" s="22" t="s">
        <v>222</v>
      </c>
      <c r="D105" s="6" t="s">
        <v>14</v>
      </c>
    </row>
    <row r="106" spans="1:4">
      <c r="A106" s="8"/>
      <c r="B106" s="9"/>
      <c r="C106" s="12" t="s">
        <v>223</v>
      </c>
      <c r="D106" s="6" t="s">
        <v>34</v>
      </c>
    </row>
    <row r="107" spans="1:4">
      <c r="A107" s="9"/>
      <c r="B107" s="9"/>
      <c r="C107" s="22" t="s">
        <v>224</v>
      </c>
      <c r="D107" s="6" t="s">
        <v>16</v>
      </c>
    </row>
    <row r="108" spans="1:4">
      <c r="A108" s="8"/>
      <c r="B108" s="9"/>
      <c r="C108" s="22" t="s">
        <v>225</v>
      </c>
      <c r="D108" s="6" t="s">
        <v>20</v>
      </c>
    </row>
    <row r="109" spans="1:4">
      <c r="A109" s="9"/>
      <c r="B109" s="9"/>
      <c r="C109" s="22" t="s">
        <v>226</v>
      </c>
      <c r="D109" s="1" t="s">
        <v>15</v>
      </c>
    </row>
    <row r="110" spans="1:4">
      <c r="A110" s="8" t="s">
        <v>227</v>
      </c>
      <c r="B110" s="9"/>
      <c r="C110" s="22" t="s">
        <v>228</v>
      </c>
      <c r="D110" s="6" t="s">
        <v>16</v>
      </c>
    </row>
    <row r="111" spans="1:4">
      <c r="A111" s="8"/>
      <c r="B111" s="9"/>
      <c r="C111" s="22" t="s">
        <v>229</v>
      </c>
      <c r="D111" s="6" t="s">
        <v>14</v>
      </c>
    </row>
    <row r="112" spans="1:4">
      <c r="A112" s="8"/>
      <c r="B112" s="9"/>
      <c r="C112" s="22" t="s">
        <v>230</v>
      </c>
      <c r="D112" s="1" t="s">
        <v>14</v>
      </c>
    </row>
    <row r="113" spans="1:4">
      <c r="A113" s="8"/>
      <c r="B113" s="9"/>
      <c r="C113" s="22" t="s">
        <v>65</v>
      </c>
      <c r="D113" s="1" t="s">
        <v>14</v>
      </c>
    </row>
    <row r="114" spans="1:4">
      <c r="A114" s="9"/>
      <c r="B114" s="9"/>
      <c r="C114" s="12" t="s">
        <v>231</v>
      </c>
      <c r="D114" s="6" t="s">
        <v>15</v>
      </c>
    </row>
    <row r="115" spans="1:4">
      <c r="A115" s="9"/>
      <c r="B115" s="9"/>
      <c r="C115" s="22" t="s">
        <v>232</v>
      </c>
      <c r="D115" s="6" t="s">
        <v>14</v>
      </c>
    </row>
  </sheetData>
  <conditionalFormatting sqref="B2:B108">
    <cfRule type="duplicateValues" dxfId="2" priority="3"/>
  </conditionalFormatting>
  <conditionalFormatting sqref="B2 B4:B33 B35:B51 B92:B115 B53:B90">
    <cfRule type="duplicateValues" dxfId="1" priority="2"/>
  </conditionalFormatting>
  <conditionalFormatting sqref="B2:B11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B33" sqref="B33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9</v>
      </c>
    </row>
    <row r="2" spans="1:5">
      <c r="A2" s="12" t="s">
        <v>11</v>
      </c>
    </row>
    <row r="3" spans="1:5" s="14" customFormat="1" ht="13.5" thickBot="1">
      <c r="A3" s="14" t="s">
        <v>10</v>
      </c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2014-2015</vt:lpstr>
      <vt:lpstr>Last Years Boys</vt:lpstr>
      <vt:lpstr>Lost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2014-12-16T15:15:34Z</cp:lastPrinted>
  <dcterms:created xsi:type="dcterms:W3CDTF">2003-11-01T10:38:06Z</dcterms:created>
  <dcterms:modified xsi:type="dcterms:W3CDTF">2018-04-19T11:55:23Z</dcterms:modified>
</cp:coreProperties>
</file>